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8_{4D61021A-2731-460E-86B7-3B674A13E645}" xr6:coauthVersionLast="47" xr6:coauthVersionMax="47" xr10:uidLastSave="{00000000-0000-0000-0000-000000000000}"/>
  <workbookProtection workbookPassword="C97A" lockStructure="1"/>
  <bookViews>
    <workbookView xWindow="-110" yWindow="-110" windowWidth="19420" windowHeight="10300" activeTab="2" xr2:uid="{00000000-000D-0000-FFFF-FFFF00000000}"/>
  </bookViews>
  <sheets>
    <sheet name="PdR 5-2013" sheetId="6" r:id="rId1"/>
    <sheet name="Governo" sheetId="1" r:id="rId2"/>
    <sheet name="Operativi" sheetId="2" r:id="rId3"/>
    <sheet name="Supporto" sheetId="3" r:id="rId4"/>
    <sheet name="Totali" sheetId="4" r:id="rId5"/>
    <sheet name="  " sheetId="5" state="hidden" r:id="rId6"/>
  </sheets>
  <definedNames>
    <definedName name="Indicatore_on_off">Governo!$C$65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3" i="3" l="1"/>
  <c r="E203" i="3"/>
  <c r="D233" i="3"/>
  <c r="E183" i="3"/>
  <c r="C181" i="3"/>
  <c r="F183" i="3" s="1"/>
  <c r="B64" i="4" s="1"/>
  <c r="D171" i="3"/>
  <c r="D161" i="3"/>
  <c r="D99" i="3"/>
  <c r="E99" i="3" s="1"/>
  <c r="B55" i="4" s="1"/>
  <c r="F246" i="2"/>
  <c r="E242" i="2"/>
  <c r="D246" i="2" s="1"/>
  <c r="B44" i="4" s="1"/>
  <c r="D182" i="2"/>
  <c r="D162" i="2"/>
  <c r="D152" i="2"/>
  <c r="D142" i="2"/>
  <c r="E142" i="2" s="1"/>
  <c r="B34" i="4" s="1"/>
  <c r="D52" i="2"/>
  <c r="D55" i="1"/>
  <c r="C55" i="1"/>
  <c r="B68" i="4"/>
  <c r="B67" i="4"/>
  <c r="F233" i="3"/>
  <c r="B69" i="4" s="1"/>
  <c r="F223" i="3"/>
  <c r="E213" i="3"/>
  <c r="E193" i="3"/>
  <c r="E171" i="3"/>
  <c r="B63" i="4" s="1"/>
  <c r="F161" i="3"/>
  <c r="B62" i="4" s="1"/>
  <c r="B59" i="4"/>
  <c r="B58" i="4"/>
  <c r="D151" i="3"/>
  <c r="B61" i="4" s="1"/>
  <c r="E141" i="3"/>
  <c r="B60" i="4" s="1"/>
  <c r="B56" i="4"/>
  <c r="E111" i="3"/>
  <c r="B57" i="4" s="1"/>
  <c r="E109" i="3"/>
  <c r="C89" i="3"/>
  <c r="E89" i="3" s="1"/>
  <c r="B54" i="4" s="1"/>
  <c r="E79" i="3"/>
  <c r="B53" i="4" s="1"/>
  <c r="B51" i="4"/>
  <c r="E59" i="3"/>
  <c r="D49" i="3"/>
  <c r="E49" i="3"/>
  <c r="B50" i="4" s="1"/>
  <c r="E39" i="3"/>
  <c r="B49" i="4" s="1"/>
  <c r="E29" i="3"/>
  <c r="B48" i="4" s="1"/>
  <c r="F17" i="3"/>
  <c r="B47" i="4" s="1"/>
  <c r="E7" i="3"/>
  <c r="C7" i="3"/>
  <c r="D7" i="3"/>
  <c r="D256" i="2"/>
  <c r="E246" i="2"/>
  <c r="C246" i="2"/>
  <c r="E232" i="2"/>
  <c r="B43" i="4" s="1"/>
  <c r="E222" i="2"/>
  <c r="B42" i="4" s="1"/>
  <c r="B41" i="4"/>
  <c r="E212" i="2"/>
  <c r="E202" i="2"/>
  <c r="B40" i="4" s="1"/>
  <c r="E192" i="2"/>
  <c r="B39" i="4" s="1"/>
  <c r="E182" i="2"/>
  <c r="B38" i="4" s="1"/>
  <c r="C172" i="2"/>
  <c r="F172" i="2" s="1"/>
  <c r="B37" i="4" s="1"/>
  <c r="E162" i="2"/>
  <c r="B36" i="4" s="1"/>
  <c r="E152" i="2"/>
  <c r="B35" i="4" s="1"/>
  <c r="B33" i="4"/>
  <c r="E132" i="2"/>
  <c r="B32" i="4"/>
  <c r="E122" i="2"/>
  <c r="E112" i="2"/>
  <c r="B31" i="4" s="1"/>
  <c r="E102" i="2"/>
  <c r="B30" i="4" s="1"/>
  <c r="E92" i="2"/>
  <c r="B29" i="4" s="1"/>
  <c r="C82" i="2"/>
  <c r="F82" i="2" s="1"/>
  <c r="B28" i="4" s="1"/>
  <c r="F72" i="2"/>
  <c r="B27" i="4" s="1"/>
  <c r="E75" i="1"/>
  <c r="E62" i="2"/>
  <c r="B26" i="4" s="1"/>
  <c r="C52" i="2"/>
  <c r="E52" i="2" s="1"/>
  <c r="B25" i="4" s="1"/>
  <c r="E42" i="2"/>
  <c r="B24" i="4" s="1"/>
  <c r="C32" i="2"/>
  <c r="E32" i="2" s="1"/>
  <c r="B23" i="4" s="1"/>
  <c r="F22" i="2"/>
  <c r="F21" i="2"/>
  <c r="F20" i="2"/>
  <c r="F7" i="2"/>
  <c r="F8" i="2"/>
  <c r="F9" i="2"/>
  <c r="F10" i="2"/>
  <c r="B20" i="4"/>
  <c r="B18" i="4"/>
  <c r="E115" i="1"/>
  <c r="D106" i="1"/>
  <c r="C106" i="1"/>
  <c r="E95" i="1"/>
  <c r="B17" i="4"/>
  <c r="D85" i="1"/>
  <c r="B16" i="4"/>
  <c r="B15" i="4"/>
  <c r="E105" i="1" l="1"/>
  <c r="B19" i="4" s="1"/>
  <c r="G7" i="3"/>
  <c r="B46" i="4" s="1"/>
  <c r="G20" i="2"/>
  <c r="B22" i="4" s="1"/>
  <c r="G7" i="2"/>
  <c r="B21" i="4" s="1"/>
  <c r="E55" i="1"/>
  <c r="B14" i="4" s="1"/>
  <c r="E45" i="1"/>
  <c r="B13" i="4" s="1"/>
  <c r="E29" i="1"/>
  <c r="B6" i="4" s="1"/>
  <c r="E30" i="1"/>
  <c r="B7" i="4" s="1"/>
  <c r="E31" i="1"/>
  <c r="B8" i="4" s="1"/>
  <c r="E32" i="1"/>
  <c r="B9" i="4" s="1"/>
  <c r="E33" i="1"/>
  <c r="B10" i="4" s="1"/>
  <c r="E34" i="1"/>
  <c r="B11" i="4" s="1"/>
  <c r="E35" i="1"/>
  <c r="B12" i="4" s="1"/>
  <c r="E28" i="1"/>
  <c r="B5" i="4" s="1"/>
  <c r="G17" i="1"/>
  <c r="B4" i="4" s="1"/>
  <c r="F7" i="1"/>
  <c r="B3" i="4" s="1"/>
  <c r="G69" i="3"/>
  <c r="B52" i="4" s="1"/>
  <c r="D203" i="3"/>
  <c r="F203" i="3" s="1"/>
  <c r="B66" i="4" s="1"/>
  <c r="D193" i="3"/>
  <c r="F193" i="3" s="1"/>
  <c r="B65" i="4" s="1"/>
</calcChain>
</file>

<file path=xl/sharedStrings.xml><?xml version="1.0" encoding="utf-8"?>
<sst xmlns="http://schemas.openxmlformats.org/spreadsheetml/2006/main" count="590" uniqueCount="424">
  <si>
    <t>entrate tributarie (TitoloI)</t>
  </si>
  <si>
    <t>Totale entrate</t>
  </si>
  <si>
    <t xml:space="preserve">Indicatore G.1 </t>
  </si>
  <si>
    <t>Autonomia Finanziaria</t>
  </si>
  <si>
    <t>entrate extratributarie (Titolo II+III)</t>
  </si>
  <si>
    <t>Evidenzia in quale quota l'amministrazione locale faccia leva sul prelievo tributario (imposte, tasse ed altri tributi, e sulle entrate extratributarie (proventi dei servizi pubblici locale, proventi patrimoniali, utili di aziende partecipate o controllate) per procurari le entrate di parte corrente</t>
  </si>
  <si>
    <t xml:space="preserve">Note: </t>
  </si>
  <si>
    <t>Indicatore G.2</t>
  </si>
  <si>
    <t>Velocotà di riscossione annua</t>
  </si>
  <si>
    <t>Riscossioni Titolo I</t>
  </si>
  <si>
    <t>Accertamenti Titolo I</t>
  </si>
  <si>
    <t>Riscossioni Titolo III</t>
  </si>
  <si>
    <t>Accertamenti Titolo III</t>
  </si>
  <si>
    <t>G.1</t>
  </si>
  <si>
    <t>G.2</t>
  </si>
  <si>
    <t>G.3</t>
  </si>
  <si>
    <t>N.</t>
  </si>
  <si>
    <t>G.4</t>
  </si>
  <si>
    <t>G.5</t>
  </si>
  <si>
    <t>G.6</t>
  </si>
  <si>
    <t>G.7</t>
  </si>
  <si>
    <t>G.8</t>
  </si>
  <si>
    <t>G.9</t>
  </si>
  <si>
    <t>G.10</t>
  </si>
  <si>
    <t>G.11</t>
  </si>
  <si>
    <t>Indicatore G.3</t>
  </si>
  <si>
    <t>Efficacia di gestione del Bilancio</t>
  </si>
  <si>
    <t>Bilancio di Previsione</t>
  </si>
  <si>
    <t>Rendiconto</t>
  </si>
  <si>
    <t>Tit. I</t>
  </si>
  <si>
    <t>Tit. II</t>
  </si>
  <si>
    <t>Tit. III</t>
  </si>
  <si>
    <t>Tit. IV</t>
  </si>
  <si>
    <t>Tit. V</t>
  </si>
  <si>
    <t>ENTRATE</t>
  </si>
  <si>
    <t>Indica l'efficienza di un'amministrazione locale, indica la sua capacità di realizzare i crediti nell'anno di Competenza</t>
  </si>
  <si>
    <t>SPESA</t>
  </si>
  <si>
    <t>Indicatore G.4</t>
  </si>
  <si>
    <t>Propensione all'investimento</t>
  </si>
  <si>
    <t>Spese in conto capitale</t>
  </si>
  <si>
    <t>numero abitanti</t>
  </si>
  <si>
    <t>Risultati</t>
  </si>
  <si>
    <t>Evidenzia la capacità di previsione dell'amministrazione locale misurando lo scostamento tra quanto pianificato e quanto rendicontato alla fine del periodo di riferimento.</t>
  </si>
  <si>
    <t>Indica la propensione dell'amministrazione locale ad investire in fattori pluriennali soggetti ad  ammortamento (dalla realizzazione di infrastrutture alla acquisizione di beni).</t>
  </si>
  <si>
    <t>Indicatore G.5</t>
  </si>
  <si>
    <t>Pressione tributaria per abitante</t>
  </si>
  <si>
    <t>Indica il benessere dell'amministrazione locale, in quanto permette di valutare il peso medio fiscale che i cittadini devono sopportare per permettere che l'amministrazione locale faccia fronte alle proprie spese di gestione.</t>
  </si>
  <si>
    <t>Indicatore G.6</t>
  </si>
  <si>
    <t>Rispetto del patto di stabilità</t>
  </si>
  <si>
    <t>Indica se l'amministrazione locale è in grado di tenere sotto controllo l'indebitamento netto definito come il saldo fra entrate e spese finali, al netto delle operazioni finanziarie (riscossione e concessioni crediti, partecipazioni e conferimenti, anticipazioni).</t>
  </si>
  <si>
    <t>Indicatore on/off</t>
  </si>
  <si>
    <t>SI</t>
  </si>
  <si>
    <t>NO</t>
  </si>
  <si>
    <t>Indicatore G.7</t>
  </si>
  <si>
    <t>Capacità di ascolto dei cittadini/utenti</t>
  </si>
  <si>
    <t>Permette di trasformare in valutazione quantitativa il parere soggettivo dei cittadini riguardo alla capacità della propria amministrazione locale di ascoltare le loro esigenze.</t>
  </si>
  <si>
    <t>Indicatore G.8</t>
  </si>
  <si>
    <t>Orientamento all'innovazione</t>
  </si>
  <si>
    <t>Periodo di riferimento 3 anni</t>
  </si>
  <si>
    <t>n.ro  progetti innovativi nel triennio</t>
  </si>
  <si>
    <t>Indicatore G.9</t>
  </si>
  <si>
    <t>Orientamento alla gestione per processi</t>
  </si>
  <si>
    <t>Permette di capire quanto è diffuso il concetto di processo e di monitoraggio dei processi all'interno dell'amministrazione locale.</t>
  </si>
  <si>
    <t>Numero processi monitorati</t>
  </si>
  <si>
    <t>numero totale dei processi</t>
  </si>
  <si>
    <t>Indicatore G.10</t>
  </si>
  <si>
    <t>Stabilità del fondo cassa</t>
  </si>
  <si>
    <t>Avere un fondo cassa stabile garantisce un certo equilibrio, una certa costanza tra incassi e pagamenti che è indice di salute del bilancio dell' amministrazione locale</t>
  </si>
  <si>
    <t>Fondo cassa al 31.12</t>
  </si>
  <si>
    <t>Fondo cassa al 31.12 dell'anno precedente</t>
  </si>
  <si>
    <t>La formula lavora arrotondando i valori ai € 100.000</t>
  </si>
  <si>
    <t>Indicatore G.11</t>
  </si>
  <si>
    <t>Coefficiente di spesa per OOPP sulle risorse</t>
  </si>
  <si>
    <t xml:space="preserve">Misura la capacità dell'amministrazione locale di rispettare i propri piani economico- finanziari. Misura quanto tra le risorse (disponibilità finanziarie) attribuite ad ogni responsabile di spesa, viene destinato a spese per investimenti.E' indicatore di efficacia
</t>
  </si>
  <si>
    <t>Spesa prevista per OOPP</t>
  </si>
  <si>
    <t>Totale risorse affidate</t>
  </si>
  <si>
    <t>PROCESSI DI GOVERNO</t>
  </si>
  <si>
    <t>PROCESSI OPERATIVI</t>
  </si>
  <si>
    <r>
      <t xml:space="preserve">∑  </t>
    </r>
    <r>
      <rPr>
        <sz val="11"/>
        <color theme="1"/>
        <rFont val="Calibri"/>
        <family val="2"/>
        <scheme val="minor"/>
      </rPr>
      <t>tempi effettivi di rilascio</t>
    </r>
  </si>
  <si>
    <t>tempo previsto</t>
  </si>
  <si>
    <t>numero documenti emessi</t>
  </si>
  <si>
    <t>PD</t>
  </si>
  <si>
    <t>AOSP</t>
  </si>
  <si>
    <t>CDU</t>
  </si>
  <si>
    <t>CI</t>
  </si>
  <si>
    <t>Periodo di riferimento: 3 mesi. C.I =Carte d'identità; CDU= Certificati di destinazione urbanistica; AOSP= Autorizzazioni occupazione suolo pubblico; PD=Permessi per disabili</t>
  </si>
  <si>
    <t xml:space="preserve">Indicatore O.1 </t>
  </si>
  <si>
    <t>O.1</t>
  </si>
  <si>
    <t>O.2</t>
  </si>
  <si>
    <t>O.3</t>
  </si>
  <si>
    <t>O.4</t>
  </si>
  <si>
    <t>O.5</t>
  </si>
  <si>
    <t>O.6</t>
  </si>
  <si>
    <t>O.7</t>
  </si>
  <si>
    <t>O.8</t>
  </si>
  <si>
    <t>O.9</t>
  </si>
  <si>
    <t>O.10</t>
  </si>
  <si>
    <t>O.11</t>
  </si>
  <si>
    <t>O.12</t>
  </si>
  <si>
    <t>O.13</t>
  </si>
  <si>
    <t>O.14</t>
  </si>
  <si>
    <t>O.15</t>
  </si>
  <si>
    <t>O.16</t>
  </si>
  <si>
    <t>O.17</t>
  </si>
  <si>
    <t>O.18</t>
  </si>
  <si>
    <t>O.19</t>
  </si>
  <si>
    <t>O.20</t>
  </si>
  <si>
    <t>O.21</t>
  </si>
  <si>
    <t>O.22</t>
  </si>
  <si>
    <t>O.23</t>
  </si>
  <si>
    <t>O.24</t>
  </si>
  <si>
    <t>O.25</t>
  </si>
  <si>
    <t>parziali</t>
  </si>
  <si>
    <t>CR</t>
  </si>
  <si>
    <t>DIAP</t>
  </si>
  <si>
    <t>SCIA</t>
  </si>
  <si>
    <t>Periodo di riferimento: 3 mesi. CR=Cambi di residenza; DIAP= Denuncia di inizio attività; SCIA= Segnalazione Certificata Inizio Attività</t>
  </si>
  <si>
    <t>Media tempi effettivi di rilascio</t>
  </si>
  <si>
    <t xml:space="preserve">Indicatore O.2 </t>
  </si>
  <si>
    <t>Rispetto dei tempi di alcune pratiche tipo</t>
  </si>
  <si>
    <t xml:space="preserve">Misura l'efficacia del processo di rilascio dei documenti valutando il rispetto dei tempi di rilascio previsti. Effettua la misurazione con riferimento ad alcune tipologie di documenti rappresentative dell'insieme.
La formula misura la media dell'indicatore "tempo rilascio eff.(te)/tempo rilascio previsto (tp)" calcolato per un panel di documenti "tipo", cioè : carta d'identità, certificati urbanistici, autorizzazione occupazione suolo pubblico, permesso di sosta per disabili.
</t>
  </si>
  <si>
    <t>Rispetto dei tempi di rilascio dei documenti</t>
  </si>
  <si>
    <t>Indicatore O.3</t>
  </si>
  <si>
    <t>Serve a valutare la disponibilità dell'amministrazione locale a mantenere accessibili al pubblico, in termini di orari di apertura, i servizi dotati di sportello.</t>
  </si>
  <si>
    <t>∑  delle ore di apertura settimanali di tutti gli sportelli</t>
  </si>
  <si>
    <t>numero degli sportelli</t>
  </si>
  <si>
    <t>Si riferisce al momento in cui viene fatta la misurazione</t>
  </si>
  <si>
    <t>Accessibilità ai servizi</t>
  </si>
  <si>
    <t>Indicatore O.4</t>
  </si>
  <si>
    <t>Assenza di barriere architettoniche</t>
  </si>
  <si>
    <t>Misura il livello di adeguamento dell'amministrazione locale ad un requisito previsto dalla legge.</t>
  </si>
  <si>
    <t>numero edifici attrezzati</t>
  </si>
  <si>
    <t>numero totale edifici</t>
  </si>
  <si>
    <t>Si riferisce all'anno. I dati possono essere reperiti nel PEBA (Piano eliminazione barriere architettoniche)</t>
  </si>
  <si>
    <t>Indicatore O.5</t>
  </si>
  <si>
    <t>Tempo medio di attesa allo sportello</t>
  </si>
  <si>
    <t>Misura l'efficacia del processo di erogazione dei servizi tramite sportello. Valuta la capacità dell'amministrazione locale di rispondere con tempestività alle richieste.</t>
  </si>
  <si>
    <t>∑  tempi medi di attesa di ciascun sportello</t>
  </si>
  <si>
    <t>E' espresso in minuti. Si riferisce ad una misurazione effettuata 1 settimana al mese, per almeno 3 mesi consecutivi</t>
  </si>
  <si>
    <t xml:space="preserve">E' il valore raccolto inserendo nel questionario di CS una domanda del tipo "dare un valutazione della capacità di ascolto delle esigenze dei cittadini da parte della propria amministrazione locale". L'unità di misura dipende dalla scala che è stata adottata per la formulazione delle risposte alle domande del questionario.
</t>
  </si>
  <si>
    <t xml:space="preserve">Permette di valutare quale sia la propensione dell'amministrazione locale ad innovare attraverso la frequenza con la quale intraprende progetti innovativi, ossia .attività aventi come obiettivo quello di realizzare un servizio e/o adottare un modello organizzativo non richiesti per legge, ma finalizzati ad incrementare il benessere della collettività o di una delle sue componenti (cittadini, commercianti, imprenditori, ecc.), sia in termini di ottimizzazione delle risorse che di soddisfazione di bisogni latenti
</t>
  </si>
  <si>
    <t>Indicatore O.6</t>
  </si>
  <si>
    <t>Livello generale di soddisfazione dei cittadini</t>
  </si>
  <si>
    <t>Misura l'efficacia complessiva della macchina dell'amministrazione locale</t>
  </si>
  <si>
    <t>L'unità di misura dipende dalla scala che è stata adottata per la formulazione delle risposte</t>
  </si>
  <si>
    <t>Risposta che ha ricevuto il maggior numero di "voti" opp. Media del livello di soddisfazione riferito ai singoli servizi</t>
  </si>
  <si>
    <t xml:space="preserve">Risposta che ha ricevuto il maggior numero di "voti" </t>
  </si>
  <si>
    <t>Indicatore O.7</t>
  </si>
  <si>
    <t xml:space="preserve">Rispetto dei tempi di realizzazione delle OO.PP </t>
  </si>
  <si>
    <t>Misura la capacità dell'amministrazione locale di rispettare i propri piani. È indicatore di efficacia.</t>
  </si>
  <si>
    <t>numero totale di OOPP realizzate</t>
  </si>
  <si>
    <t>Periodo di riferimento: un anno. Rapporto tra tempi da cui si ricava un valore assoluto.</t>
  </si>
  <si>
    <t>Indicatore O.8</t>
  </si>
  <si>
    <t>∑  dell'indicatore ottenuto per ogni OP = tempo di realizzazione effettivo / tempo di realizzazione previsto</t>
  </si>
  <si>
    <t>Indicatore O.9</t>
  </si>
  <si>
    <t xml:space="preserve">Tempo medio di intervento su segnalazioni per manutenzione ordinaria alle infrastrutture </t>
  </si>
  <si>
    <t>Misura l'efficacia del processo di gestione delle richieste interventi di manutenzione attraverso una valutazione della tempestività di risposta</t>
  </si>
  <si>
    <t>∑  dell'indicatore ottenuto per ogni intervento di manutenzione = data intervento - data ricezione segnalazione</t>
  </si>
  <si>
    <t>Periodo di riferimento: un anno. L'indicatore ottenuto per ogni intervento di manutenzione è misurato in giorni</t>
  </si>
  <si>
    <t>numero totale interventi</t>
  </si>
  <si>
    <t xml:space="preserve">Capacità di conservazione del patrimonio e del verde pubblico </t>
  </si>
  <si>
    <t>N.ro interventi di manutenzione ord. e straord. effettuati</t>
  </si>
  <si>
    <t>N.ro interventi di manutenzione ord. e straord. programmati</t>
  </si>
  <si>
    <t xml:space="preserve">Periodo di riferimento: un anno. </t>
  </si>
  <si>
    <t>Indicatore O.10</t>
  </si>
  <si>
    <t>Disponibilità dei servizi sociali</t>
  </si>
  <si>
    <t>Misura la capacità dell'amministrazione locale di soddisfare la domanda dei seguenti servizi sociali: edilizia popolare, assistenza domiciliare, sostegno minori, contributi economici per persone in difficoltà, portatori di handicap.</t>
  </si>
  <si>
    <t>N.ro domande soddisfatte</t>
  </si>
  <si>
    <t>N.ro domande accolte</t>
  </si>
  <si>
    <t>Indicatore O.11</t>
  </si>
  <si>
    <t>Disponibilità dei servizi culturali / per il tempo libero</t>
  </si>
  <si>
    <t xml:space="preserve">Misura la capacità dell'amministrazione locale di soddisfare la domanda dei seguenti servizi culturali/per il tempo libero: partecipazione a corsi/attività, utilizzo strutture sportive/culturali. L'indicatore non è applicabile alle biblioteche.
</t>
  </si>
  <si>
    <t>Indicatore O.12</t>
  </si>
  <si>
    <t>Efficacia servizi educativi</t>
  </si>
  <si>
    <t>Misura la capacità dell'amministrazione locale di offrire ai cittadini servizi educativi in linea con le loro esigenze, tramite domanda da inserire nel questionario di customer satisfaction</t>
  </si>
  <si>
    <t>Inserire nel questionario domande del tipo "come valuta l'efficacia dei servizi educativi di cui ha usufruito?" ed elaborare statisticamente le relative risposte. L'unità di misura dipende dalla scala che è stata adottata per la formulazione delle risposte</t>
  </si>
  <si>
    <t>Indicatore O.13</t>
  </si>
  <si>
    <t>Soddisfazione richieste servizi scolastici</t>
  </si>
  <si>
    <t>Misura la capacità dell'amministrazione locale di soddisfare la domanda dei seguenti servizi scolastici: trasporto, mensa, pre-scuola, asili nido.</t>
  </si>
  <si>
    <t>N.ro domande presentate</t>
  </si>
  <si>
    <t>Indicatore O.14</t>
  </si>
  <si>
    <t>Sicurezza dei cittadini - Reati contro il patrimonio</t>
  </si>
  <si>
    <t xml:space="preserve">Misura l'incidenza dei reati contro il patrimonio all'interno dell'amministrazione locale.
</t>
  </si>
  <si>
    <t>N.ro abitanti</t>
  </si>
  <si>
    <t>N.ro denunce per reati contro il patrimonio presentate</t>
  </si>
  <si>
    <t>Numero medio riferito all'anno</t>
  </si>
  <si>
    <t>Indicatore O.15</t>
  </si>
  <si>
    <t>Sicurezza dei cittadini - Reati contro le persone</t>
  </si>
  <si>
    <t>N.ro denunce per reati contro le persone presentate</t>
  </si>
  <si>
    <t>Indicatore O.16</t>
  </si>
  <si>
    <t>Sicurezza dei cittadini - Disponibilità agenti sul territorio</t>
  </si>
  <si>
    <t>Misura l'incidenza dei reati contro le persone all'interno dell'amministrazione locale.</t>
  </si>
  <si>
    <t>Indicatore 17</t>
  </si>
  <si>
    <t>Sicurezza dei cittadini - Servizio emergenze</t>
  </si>
  <si>
    <t>Misura l'impiego di risorse (in termini di uomini) da parte dell'amministrazione locale per garantire la sicurezza dei cittadini.</t>
  </si>
  <si>
    <t>∑  minuti per ogni intervento per segnalazione emergenze = orario arrivo sul posto - orario chiamata</t>
  </si>
  <si>
    <t>numero totale chiamate</t>
  </si>
  <si>
    <t>Valuta l'efficacia del servizio di emergenza (servizio 112) in termini di tempestività d'intervento.</t>
  </si>
  <si>
    <t>Periodo di riferimento: un anno. L'indicatore ottenuto per ogni intervento è misurato in minuti</t>
  </si>
  <si>
    <t>Indicatore O.18</t>
  </si>
  <si>
    <t>Sicurezza dei cittadini - Incidenza furti</t>
  </si>
  <si>
    <t>Misura l'incidenza dei furi all'interno dell'amministrazione locale</t>
  </si>
  <si>
    <t>N.ro agenti</t>
  </si>
  <si>
    <t>N.ro furti</t>
  </si>
  <si>
    <t>Indicatore O.19</t>
  </si>
  <si>
    <t>Violazione delle norme amministrative</t>
  </si>
  <si>
    <t>Misura l'efficiacia dell'azione amministrativa dell'amministrazione locale</t>
  </si>
  <si>
    <t>N.ro sanzioni emesse</t>
  </si>
  <si>
    <t>N.ro controlli</t>
  </si>
  <si>
    <t>Periodo di riferimento: un anno.</t>
  </si>
  <si>
    <t>Indicatore O.20</t>
  </si>
  <si>
    <t>Sviluppo economico del territorio - Tasso di nascita di nuove imprese</t>
  </si>
  <si>
    <t>Misura il dinamismo del tessuto imprenditoriale locale attraverso la frequenza delle richieste di avvio di nuove attività.</t>
  </si>
  <si>
    <t>N.ro DIA presentate al SUAP</t>
  </si>
  <si>
    <t>N.ro totale denunce presentate al SUAP</t>
  </si>
  <si>
    <t>Indicatore O.21</t>
  </si>
  <si>
    <t>Sfruttamento territoriale</t>
  </si>
  <si>
    <t>Fornisce evidenza del rispetto da parte dell'amministrazione locale per l'equilibrio tra aree verdi ed aree urbanizzate all'interno del proprio territorio.</t>
  </si>
  <si>
    <t>Superficie territorio urbanizzato</t>
  </si>
  <si>
    <t>Superficie totale territorio</t>
  </si>
  <si>
    <t>Si riferisce al momento della rilevazione</t>
  </si>
  <si>
    <t>Indicatore O.22</t>
  </si>
  <si>
    <t>Efficacia rete idrica</t>
  </si>
  <si>
    <t>Esprime una misura dell'efficienza del processo di gestione della rete idrica.</t>
  </si>
  <si>
    <t>Emungimento complessivo  (in metri cubi)</t>
  </si>
  <si>
    <t>Consumo finale complessivo di acqua in metri cubi</t>
  </si>
  <si>
    <t>Indicatore O.23</t>
  </si>
  <si>
    <t>Classe energetica dell'amministrazione locale</t>
  </si>
  <si>
    <t>Misura qual è mediamente sul territorio la capacità di sfruttare in maniera efficiente le risorse energetiche prendendo come riferimento una certificazione che valuta: efficienza degli impianti di riscaldamento, produzione di acqua calda sanitaria, climatizzazione estiva e utilizzo di fonti rinnovabili.</t>
  </si>
  <si>
    <t>Valore numerico= medio ottenuto dal censimento delle classi energetiche degli edifici sul territorio</t>
  </si>
  <si>
    <t>* Si calcola assegnando i seguenti pesi: A=1, B=2, C=3, 0=4, E=5, F=6, G=7. Il valore risultante da O a 1,5 corrisponde ad A, da 1,6 a 2,5 corrisponde a B, da 2,6 a 3,5 corrisponde a C, ecc.</t>
  </si>
  <si>
    <t>Indicatore O.24</t>
  </si>
  <si>
    <t>Sostenibilità ambientale (facoltativo)</t>
  </si>
  <si>
    <t>Stima la sostenibilità ambientale dell'amministrazione locale. Si tratta di un indicatore piuttosto complesso perchè l'amministrazione locale deve disporre della strumentazione necessaria per la misurazione dei parametri richiesti. Questo indicatore è da considerarsi facoltativo.</t>
  </si>
  <si>
    <t>Numero aziende</t>
  </si>
  <si>
    <t>∑  dimensione aziende</t>
  </si>
  <si>
    <t>Numero abitanti</t>
  </si>
  <si>
    <r>
      <t>Produzione media annua pro-capite CO</t>
    </r>
    <r>
      <rPr>
        <vertAlign val="subscript"/>
        <sz val="11"/>
        <color theme="1"/>
        <rFont val="Calibri"/>
        <family val="2"/>
        <scheme val="minor"/>
      </rPr>
      <t>2</t>
    </r>
  </si>
  <si>
    <r>
      <t>Produzione media annua aziendale CO</t>
    </r>
    <r>
      <rPr>
        <vertAlign val="subscript"/>
        <sz val="11"/>
        <color theme="1"/>
        <rFont val="Calibri"/>
        <family val="2"/>
        <scheme val="minor"/>
      </rPr>
      <t>2</t>
    </r>
    <r>
      <rPr>
        <sz val="11"/>
        <color theme="1"/>
        <rFont val="Calibri"/>
        <family val="2"/>
        <scheme val="minor"/>
      </rPr>
      <t xml:space="preserve"> per unità di superficie</t>
    </r>
  </si>
  <si>
    <t>Superficie forestale</t>
  </si>
  <si>
    <t>Superficie terreni agricoli</t>
  </si>
  <si>
    <r>
      <t>Capacità unitaria assorbimento CO</t>
    </r>
    <r>
      <rPr>
        <vertAlign val="subscript"/>
        <sz val="11"/>
        <color theme="1"/>
        <rFont val="Calibri"/>
        <family val="2"/>
        <scheme val="minor"/>
      </rPr>
      <t>2</t>
    </r>
    <r>
      <rPr>
        <sz val="11"/>
        <color theme="1"/>
        <rFont val="Calibri"/>
        <family val="2"/>
        <scheme val="minor"/>
      </rPr>
      <t xml:space="preserve"> da parte di foreste e terreni agricoli</t>
    </r>
  </si>
  <si>
    <r>
      <t>Capacità forestale e agricola di assorbire CO</t>
    </r>
    <r>
      <rPr>
        <vertAlign val="subscript"/>
        <sz val="11"/>
        <color theme="1"/>
        <rFont val="Calibri"/>
        <family val="2"/>
        <scheme val="minor"/>
      </rPr>
      <t>2</t>
    </r>
  </si>
  <si>
    <r>
      <t>Produzione CO</t>
    </r>
    <r>
      <rPr>
        <vertAlign val="subscript"/>
        <sz val="11"/>
        <color theme="1"/>
        <rFont val="Calibri"/>
        <family val="2"/>
        <scheme val="minor"/>
      </rPr>
      <t>2</t>
    </r>
    <r>
      <rPr>
        <sz val="11"/>
        <color theme="1"/>
        <rFont val="Calibri"/>
        <family val="2"/>
        <scheme val="minor"/>
      </rPr>
      <t xml:space="preserve"> da parte degli abitanti</t>
    </r>
  </si>
  <si>
    <r>
      <t>Produzione CO</t>
    </r>
    <r>
      <rPr>
        <vertAlign val="subscript"/>
        <sz val="11"/>
        <color theme="1"/>
        <rFont val="Calibri"/>
        <family val="2"/>
        <scheme val="minor"/>
      </rPr>
      <t>2</t>
    </r>
    <r>
      <rPr>
        <sz val="11"/>
        <color theme="1"/>
        <rFont val="Calibri"/>
        <family val="2"/>
        <scheme val="minor"/>
      </rPr>
      <t xml:space="preserve"> da parte delle aziende</t>
    </r>
  </si>
  <si>
    <t>% raccolta differenziata</t>
  </si>
  <si>
    <t>Misura il livello di attenzione dell'amministrazione locale e dei suoi cittadini al rispetto per l'ambiente.</t>
  </si>
  <si>
    <t>Kg rifiuti pro capite giornaliera (RSU + Differenziata)</t>
  </si>
  <si>
    <t>Indicatore O.25</t>
  </si>
  <si>
    <t>vedi matrice</t>
  </si>
  <si>
    <t xml:space="preserve">L'assorbimento e l'immissione di C02 si calcolano in TPE (tonnellate di petrolio equivalente).  Si riferisce all'anno.
</t>
  </si>
  <si>
    <t>PROCESSI DI SUPPORTO</t>
  </si>
  <si>
    <t xml:space="preserve">Indicatore S.1 </t>
  </si>
  <si>
    <t>Tempo medio formazione atti interni (delibere, determine)</t>
  </si>
  <si>
    <t>Misura l'efficienza del processo di gestione degli atti interni con un focus sulle due tipologie di atti più rilevanti. Interessante è non soltanto il tempo medio necessario per la formazione dei due atti, ma anche il range (t.max-t.min) all'interno del quale si oscilla.</t>
  </si>
  <si>
    <t>Periodo di riferimento: 3 mesi. Tempo misurato in giorni. Il tempo è calcolato dal momento di inizio (bozza) alla formalizzazione dell'atto (pubblicazione), comprensivo delle eventuali interruzioni.</t>
  </si>
  <si>
    <t>numero di delibere</t>
  </si>
  <si>
    <t>∑  tempi di formazione di ciascuna delibera</t>
  </si>
  <si>
    <t>∑  tempi di formazione di ciascuna determina</t>
  </si>
  <si>
    <t>numero di determine</t>
  </si>
  <si>
    <t>S.1</t>
  </si>
  <si>
    <t>Numero di delibere</t>
  </si>
  <si>
    <t>Indicatore S.2</t>
  </si>
  <si>
    <t>S.2</t>
  </si>
  <si>
    <t>∑  tempi rilascio effettivo di ogni delibera</t>
  </si>
  <si>
    <t>tempo di rilascio previsto per le delibere</t>
  </si>
  <si>
    <t>∑  tempi rilascio effettivo di ogni determina</t>
  </si>
  <si>
    <t>tempo di rilascio previsto per le determine</t>
  </si>
  <si>
    <t>Numero di determine</t>
  </si>
  <si>
    <t>S.3</t>
  </si>
  <si>
    <t>S.4</t>
  </si>
  <si>
    <t>S.5</t>
  </si>
  <si>
    <t>S.6</t>
  </si>
  <si>
    <t>S.7</t>
  </si>
  <si>
    <t>S.8</t>
  </si>
  <si>
    <t>S.9</t>
  </si>
  <si>
    <t>S.10</t>
  </si>
  <si>
    <t>S.12</t>
  </si>
  <si>
    <t>S.13</t>
  </si>
  <si>
    <t>S.14</t>
  </si>
  <si>
    <t>S.15</t>
  </si>
  <si>
    <t>S.16</t>
  </si>
  <si>
    <t>S.17</t>
  </si>
  <si>
    <t>S.18</t>
  </si>
  <si>
    <t>S.19</t>
  </si>
  <si>
    <t>S.20</t>
  </si>
  <si>
    <t>S.21</t>
  </si>
  <si>
    <t>S.22</t>
  </si>
  <si>
    <t>S.23</t>
  </si>
  <si>
    <t>Misura l'efficacia del processo di gestione degli atti interni con un focus sulle due tipologie di atti più rilevanti.</t>
  </si>
  <si>
    <t>Rispetto tempi di emissione atti interni (delibere, determina)</t>
  </si>
  <si>
    <t>Indicatore S.3</t>
  </si>
  <si>
    <t>Funzionamento del protocollo in entrata</t>
  </si>
  <si>
    <t>Misura l'efficienza del processo di smistamento della posta in entrata, misurando il tempo medio di consegna agli uffici della posta proveniente dall'esterno</t>
  </si>
  <si>
    <t>Numero documenti in entrata</t>
  </si>
  <si>
    <t xml:space="preserve">Periodo di riferimento: 3 mesi. Tempo medio misurato in giorni. </t>
  </si>
  <si>
    <t>Periodo di riferimento: 3 mesi. Tempo misurato in giorni. Rapporto tra tempi da cui si ricava un valore assoluto</t>
  </si>
  <si>
    <t>Indicatore S.4</t>
  </si>
  <si>
    <t>Funzionamento del protocollo in uscita</t>
  </si>
  <si>
    <t>∑  tempo medio (gg) di consegna per ogni documento (data arrivo protocollo - data consegna ufficio)</t>
  </si>
  <si>
    <t>∑  tempo medio (gg) di spedizione per ogni documento (data partenza dal protocollo - data documento)</t>
  </si>
  <si>
    <t>Misura l'efficienza del processo di spedizione della posta in uscita, misurando il tempo medio di spedizione della posta diretta all'esterno</t>
  </si>
  <si>
    <t>Numero documenti in uscita</t>
  </si>
  <si>
    <t>Indicatore S.5</t>
  </si>
  <si>
    <t>Grado di dematerializzazione degli atti</t>
  </si>
  <si>
    <t>Misura l'impegno dell'amministrazione locale a procedere verso la completa sostituzione del proprio archivio cartaceo con un archivio informatico che permetta ai cittadini ed alle imprese di consultare gli atti amministrativi e conoscere lo stato di avanzamento dei propri procedimenti per via telematica.</t>
  </si>
  <si>
    <t>N.ro atti (delibere + determine + contratti) dematerializzati)</t>
  </si>
  <si>
    <t>Totale atti  (delibere + determine + contratti) dematerializzati)</t>
  </si>
  <si>
    <t>Indicatore S.6</t>
  </si>
  <si>
    <t>Copertura dei servizi da parte di sistemi di monitoraggio della customer satisfaction</t>
  </si>
  <si>
    <t>Misura l'attenzione dell'amministrazione locale nei confronti della soddisfazione dei cittadini e la sua volontà di misurarsi per individuare punti di forza e aree da migliorare.</t>
  </si>
  <si>
    <t>Numero  servizi coperti dalla CS</t>
  </si>
  <si>
    <t>Numero totale servizi</t>
  </si>
  <si>
    <t>Si riferisce al questionario da riproporre 1 volta all'anno. Numero totale servizi = num. servizi totale ricavabile dall'elenco dei processi operativi</t>
  </si>
  <si>
    <t>Indicatore S.7</t>
  </si>
  <si>
    <t>Permette di fare una fotografia della corrente disponibilità di strumenti informatici dell'amministrazione locale, in particolare misura la disponibilità di PC, palmari, tablet.</t>
  </si>
  <si>
    <t>Livello di informatizzazione della struttura - Dotazioni PC, palmari, tablet</t>
  </si>
  <si>
    <t>numero PC</t>
  </si>
  <si>
    <t>numero Tablet</t>
  </si>
  <si>
    <t>numero palmari</t>
  </si>
  <si>
    <t>numero dipendenti</t>
  </si>
  <si>
    <t>Indicatore S.8</t>
  </si>
  <si>
    <t>numero postazioni con accesso ad internet</t>
  </si>
  <si>
    <t>numero totale postazioni</t>
  </si>
  <si>
    <t>Livello di informatizzazione della struttura - Accessi ad internet</t>
  </si>
  <si>
    <t>Permette di fare una fotografia della corrente disponibilità di strumenti informatici dell'amministrazione locale, in particolare misura la disponibilità di postazioni con accesso ad internet.</t>
  </si>
  <si>
    <t>Indicatore S.9</t>
  </si>
  <si>
    <t xml:space="preserve">Periodo di riferimento: un anno. Tempo medio misurato in giorni. </t>
  </si>
  <si>
    <t>Tempo medio di risposta ai reclami</t>
  </si>
  <si>
    <t>Misura l'efficacia del processo di gestione dei reclami attraverso una valutazione della tempestività di risposta al cliente.</t>
  </si>
  <si>
    <t>∑  gg (data chiusura reclamo - data ricezione reclamo)</t>
  </si>
  <si>
    <t>numero totale reclami</t>
  </si>
  <si>
    <t>Indicatore S.10</t>
  </si>
  <si>
    <t>Livello di attivazione delle partnership</t>
  </si>
  <si>
    <t>numero partnership attive</t>
  </si>
  <si>
    <t>Si riferisce all'anno.</t>
  </si>
  <si>
    <t>Indicatore S.11</t>
  </si>
  <si>
    <t>Qualità del sito web - Frequenza aggiornamento</t>
  </si>
  <si>
    <t>Indica l'impegno dell'amministrazione locale nel tenere informati i cittadini in tempo reale sia sui servizi offerti e le loro modalità di erogazione, sia su fatti, eventi e novità che riguardano l'amministrazione locale.</t>
  </si>
  <si>
    <t>Sciegliere il periodo di riferimento per gli aggiornamenti della home page (al mese o al giorno). Per le pagine dei servizi si riferisce all'anno.</t>
  </si>
  <si>
    <t>Numero aggiornamentiti home page nel periodo</t>
  </si>
  <si>
    <t>numero gg (periodo di riferimento)</t>
  </si>
  <si>
    <t>S.11 - a</t>
  </si>
  <si>
    <t>S.11 - b</t>
  </si>
  <si>
    <t>∑  aggiornamenti pagine servizi in un anno</t>
  </si>
  <si>
    <t>numero  pagine servizi</t>
  </si>
  <si>
    <t>S.11 -a</t>
  </si>
  <si>
    <t>S.11 -b</t>
  </si>
  <si>
    <t>Qualità del sito web - Usabilità</t>
  </si>
  <si>
    <t xml:space="preserve">Misura la capacità di un sistema di essere compreso, appreso, utilizzato e attraente per gli utenti quando usato sotto condizioni specificate.
- La comprensibilità di un sito riguarda lo sforzo richiesto per capire il sistema
- L'apprendibilità riguarda lo sforzo necessario all'utente per imparare ad usare il sistema
- L'utilizzabilità si riferisce allo sforzo richiesto all'utente per utilizzare il sistema agendo sui suoi controlli.
</t>
  </si>
  <si>
    <t xml:space="preserve">Si riferisce al momento della rilevazione. Indica la presenza o meno di tutti i seguenti elementi:
- note legali/credits
- informazioni sulla privacy
- indirizzo PEC dell'amministrazione
- almeno un conttatto telefonico
- chiarezza nel percorso delle sottopagine
- albo on line
- orari degli uffici
- sezione trasparenza
</t>
  </si>
  <si>
    <t>Rispetto dei tempi di pagamento dei fornitori</t>
  </si>
  <si>
    <t>∑  g (data pagamento fornitore - data pagamento concordato)</t>
  </si>
  <si>
    <t>numero fatture in scadenza  nel periodo</t>
  </si>
  <si>
    <t>G.14</t>
  </si>
  <si>
    <t>Periodo di riferimento: 3 mesi. 
Tempo misurato in giorni.
Potrebbe assumere valore positivo {significa ritardo medio nei pagamenti), ma anche valore negativo qualora le fatture fossero pagate in anticipo rispetto alla data concordata.</t>
  </si>
  <si>
    <t>Indica la capacità dell'amministrazione locale a rispettare i tempi di pagamento.</t>
  </si>
  <si>
    <t>Misura la propensione dell'amministrazione locale alla collaborazione con altre amministrazioni locali. Per partnership si intende un'alleanza strategica fra due o più organizzazioni che collaborano per
conseguire un fine strategico comune che supera le possibilità delle singole amministrazioni.</t>
  </si>
  <si>
    <t>Indicatore S.15</t>
  </si>
  <si>
    <t>Copertura dei servizi con modalità on line</t>
  </si>
  <si>
    <t xml:space="preserve">Indica la capacità dell'amministrazione locale di adeguarsi alle nuove tecnologie e della sua volontà di rispondere in maniera sempre più efficiente alle esigenze dei cittadini. </t>
  </si>
  <si>
    <t>n° servizi erogabili on line fra gli 8 elencati</t>
  </si>
  <si>
    <t>Si riferisce al momento in cui viene fatta la rilevazione. 
I servizi erogabili on line sono: 
- certificati anagrafici, 
- pagamenti (contrawenzioni, mensa scolastica, luce votiva, tributi) 
- avanzamento pratiche, 
- Sistema Informativo Territoriale, 
- permessi accesso a ZTL.</t>
  </si>
  <si>
    <t>Indicatore S.12</t>
  </si>
  <si>
    <t>Qualità del sito web - Accessibilità</t>
  </si>
  <si>
    <t>Misura la capacità dei sistemi informatici, nelle forme e nei limiti consentiti dalle conoscenze tecnologiche, di erogare servizi e fornire informazioni fruibili, senza discriminazioni, anche da parte di coloro che a causa di disabilità necessitano di tecnologie assistive o configurazioni particolari.</t>
  </si>
  <si>
    <t>Si riferisce al momento della rilevazione. Indica la presenza o meno di tutti i seguenti elementi:
Indica la presenza o meno nella home page del banner o del logo di accessibilità (o apposita sezione attestante l'accessibilità del sito)</t>
  </si>
  <si>
    <t>Indicatore S.16</t>
  </si>
  <si>
    <t>Utilizzo servizi on line</t>
  </si>
  <si>
    <t>Indica la disponibilità/capacità dei cittadini di sfruttare le opportunità offerte dell'amministrazione locale.</t>
  </si>
  <si>
    <t>numero tipologie servizi on line</t>
  </si>
  <si>
    <t>Si riferisce all'anno</t>
  </si>
  <si>
    <t>∑  servizi erogati on line</t>
  </si>
  <si>
    <t>numero totale servizi</t>
  </si>
  <si>
    <t>Indicatore G.17</t>
  </si>
  <si>
    <t>Indicatore S.14</t>
  </si>
  <si>
    <t>Indicatore S.13</t>
  </si>
  <si>
    <t>Copertura dei servizi con carta dei servizi</t>
  </si>
  <si>
    <t>Numero servizi coperti dalla carta dei servizi</t>
  </si>
  <si>
    <t>G.17</t>
  </si>
  <si>
    <t>Si riferisce alla carta dei servizi in vigore al momento della rilevazione</t>
  </si>
  <si>
    <t>Indicatore S.18</t>
  </si>
  <si>
    <t>Livello di partecipazione dei cittadini</t>
  </si>
  <si>
    <t>Indica l'utilizzo che i cittadini fanno delle diverse forme di partecipazione che un'amministrazione locale mette a loro disposizione, misurando il numero medio di interventi (in qualsiasi forma) per abitante.</t>
  </si>
  <si>
    <t>numero reclami</t>
  </si>
  <si>
    <t>numero segnalazioni</t>
  </si>
  <si>
    <t>n.ro partecipanti assemblee cittadine</t>
  </si>
  <si>
    <t>numero risposte ai questionari di CS</t>
  </si>
  <si>
    <t>n.ro assemblee cittadine</t>
  </si>
  <si>
    <t>n.ro rilevazioni di CS</t>
  </si>
  <si>
    <t>n.ro abitanti</t>
  </si>
  <si>
    <t>Numero medio di interventi per cittadino durante l'anno.</t>
  </si>
  <si>
    <t>Indicatore S.19</t>
  </si>
  <si>
    <t>Presenza in servizio del personale</t>
  </si>
  <si>
    <t>E' il dato complementare al tasso di assenteismo. Il computo delle assenze comprende tutti i giorni di mancata presenza lavorativa, a qualsiasi titolo verificatasi.</t>
  </si>
  <si>
    <t>∑  gg lavorati di ciascun dipendente</t>
  </si>
  <si>
    <t>numero gg lavorativi nell'anno</t>
  </si>
  <si>
    <t xml:space="preserve">Comune di </t>
  </si>
  <si>
    <t>compilazione a cura di</t>
  </si>
  <si>
    <t>settore di appartenenza</t>
  </si>
  <si>
    <t>recapito mail</t>
  </si>
  <si>
    <t>recapito telefonico</t>
  </si>
  <si>
    <t xml:space="preserve">Misura la capacità dell'amministrazione locale di rispettare itempi di trattamento previsti. È indicatore di efficacia
</t>
  </si>
  <si>
    <t>Indicatore S.20</t>
  </si>
  <si>
    <t>Attenzione alla formazione - Tempo dedicato alla formazione</t>
  </si>
  <si>
    <t>Indica il livello di attenzione dell'amministrazione locale verso la formazione e l'aggiornamento del personale. In particolare calcola quale percentuale delle ore complessivamente lavorate presso l'amministrazione locale è stata dedicata ad attività formative.</t>
  </si>
  <si>
    <t>∑  gg di formazione</t>
  </si>
  <si>
    <t>Indicatore S.21</t>
  </si>
  <si>
    <t>Attenzione alla formazione - Corsi realizzati</t>
  </si>
  <si>
    <t>Indica il livello di attenzione dell'amministrazione locale verso la formazione e l'aggiornamento del personale. In particolare permette di capire se viene fatta una pianificazione della formazione e serve a valutare la numerosità dei corsi di formazione pianificati. Infine evidenzia se quanto pianificato è stato effettivamente realizzato.</t>
  </si>
  <si>
    <t>numero corsi realizzati in un anno</t>
  </si>
  <si>
    <t>numero corsi pianificati</t>
  </si>
  <si>
    <t>Indicatore S.22</t>
  </si>
  <si>
    <t>Tasso di turnover del personale</t>
  </si>
  <si>
    <t>Misura il tasso con cui l'amministrazione locale ricambia il proprio personale, aumenta o diminuisce le risorse umane presenti nell'amministrazione locale stessa. Il tasso è riferibile a tutto il personale, diretto ed indiretto, che transita  nell'amministrazione locale. Se ritenuto utile l'amministrazione locale può misurare l'indicatore per area organizzativa dell'ente.</t>
  </si>
  <si>
    <t>numero assunzioni nell'anno</t>
  </si>
  <si>
    <t>numero delle dimissioni/licenziamenti nell'anno</t>
  </si>
  <si>
    <t>∑ del numero di tutti i dipendenti avuti mensilmente</t>
  </si>
  <si>
    <t>Indicatore S.23</t>
  </si>
  <si>
    <t>Sicurezza dei luoghi di lavoro</t>
  </si>
  <si>
    <t xml:space="preserve">∑  gg di assenza per infortuni sul lavoro </t>
  </si>
  <si>
    <t>Definisce l'incidenza percentuale delle assenze dovute a scarsa sicurezza sul luogo di lavoro.</t>
  </si>
  <si>
    <t>Entrate tributarie</t>
  </si>
  <si>
    <r>
      <rPr>
        <b/>
        <sz val="11"/>
        <color theme="1"/>
        <rFont val="Calibri"/>
        <family val="2"/>
        <scheme val="minor"/>
      </rPr>
      <t xml:space="preserve">I campi di colore verde sono gli unici compilabili. </t>
    </r>
    <r>
      <rPr>
        <sz val="11"/>
        <color theme="1"/>
        <rFont val="Calibri"/>
        <family val="2"/>
        <scheme val="minor"/>
      </rPr>
      <t xml:space="preserve">
Per maggiori informazioni per la corretta compilazione fare riferimento alla Prassi di Riferimento UNI/PdR 5:2013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</si>
</sst>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 #,##0.00"/>
    <numFmt numFmtId="165" formatCode="#,##0.0"/>
    <numFmt numFmtId="166" formatCode="0.0"/>
    <numFmt numFmtId="167" formatCode="0.0%"/>
    <numFmt numFmtId="168" formatCode="0.000"/>
    <numFmt numFmtId="169" formatCode="0.0000"/>
  </numFmts>
  <fonts count="14">
    <font>
      <sz val="11"/>
      <color theme="1"/>
      <name val="Calibri"/>
      <family val="2"/>
      <scheme val="minor"/>
    </font>
    <font>
      <b/>
      <sz val="11"/>
      <color theme="1"/>
      <name val="Calibri"/>
      <family val="2"/>
      <scheme val="minor"/>
    </font>
    <font>
      <sz val="9"/>
      <color theme="1"/>
      <name val="Calibri"/>
      <family val="2"/>
      <scheme val="minor"/>
    </font>
    <font>
      <sz val="11"/>
      <color theme="0"/>
      <name val="Calibri"/>
      <family val="2"/>
      <scheme val="minor"/>
    </font>
    <font>
      <b/>
      <sz val="14"/>
      <color rgb="FF0070C0"/>
      <name val="Calibri"/>
      <family val="2"/>
      <scheme val="minor"/>
    </font>
    <font>
      <sz val="11"/>
      <color theme="1"/>
      <name val="Adobe Fangsong Std R"/>
      <family val="1"/>
      <charset val="128"/>
    </font>
    <font>
      <sz val="10"/>
      <color theme="1"/>
      <name val="Calibri"/>
      <family val="2"/>
      <scheme val="minor"/>
    </font>
    <font>
      <vertAlign val="subscript"/>
      <sz val="11"/>
      <color theme="1"/>
      <name val="Calibri"/>
      <family val="2"/>
      <scheme val="minor"/>
    </font>
    <font>
      <b/>
      <sz val="11"/>
      <color rgb="FF070707"/>
      <name val="Calibri"/>
      <family val="2"/>
      <scheme val="minor"/>
    </font>
    <font>
      <u/>
      <sz val="11"/>
      <color theme="10"/>
      <name val="Calibri"/>
      <family val="2"/>
    </font>
    <font>
      <sz val="20"/>
      <color theme="1"/>
      <name val="Calibri"/>
      <family val="2"/>
      <scheme val="minor"/>
    </font>
    <font>
      <sz val="14"/>
      <color theme="1"/>
      <name val="Calibri"/>
      <family val="2"/>
      <scheme val="minor"/>
    </font>
    <font>
      <u/>
      <sz val="14"/>
      <color theme="10"/>
      <name val="Calibri"/>
      <family val="2"/>
    </font>
    <font>
      <b/>
      <sz val="20"/>
      <color theme="1"/>
      <name val="Calibri"/>
      <family val="2"/>
      <scheme val="minor"/>
    </font>
  </fonts>
  <fills count="5">
    <fill>
      <patternFill patternType="none"/>
    </fill>
    <fill>
      <patternFill patternType="gray125"/>
    </fill>
    <fill>
      <patternFill patternType="solid">
        <fgColor rgb="FF99FF66"/>
        <bgColor indexed="64"/>
      </patternFill>
    </fill>
    <fill>
      <patternFill patternType="solid">
        <fgColor rgb="FFFFFF00"/>
        <bgColor indexed="64"/>
      </patternFill>
    </fill>
    <fill>
      <patternFill patternType="solid">
        <fgColor rgb="FF66FF6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alignment vertical="top"/>
      <protection locked="0"/>
    </xf>
  </cellStyleXfs>
  <cellXfs count="94">
    <xf numFmtId="0" fontId="0" fillId="0" borderId="0" xfId="0"/>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0" fontId="1" fillId="0" borderId="0" xfId="0" applyFont="1" applyAlignment="1">
      <alignment wrapText="1"/>
    </xf>
    <xf numFmtId="0" fontId="0" fillId="0" borderId="2" xfId="0" applyBorder="1" applyAlignment="1">
      <alignment wrapText="1"/>
    </xf>
    <xf numFmtId="0" fontId="1" fillId="0" borderId="0" xfId="0" applyFont="1"/>
    <xf numFmtId="0" fontId="1" fillId="0" borderId="0" xfId="0" applyFont="1" applyAlignment="1">
      <alignment horizontal="center" vertical="center"/>
    </xf>
    <xf numFmtId="164" fontId="0" fillId="0" borderId="0" xfId="0" applyNumberFormat="1" applyAlignment="1">
      <alignment horizontal="center" vertical="center"/>
    </xf>
    <xf numFmtId="0" fontId="0" fillId="0" borderId="1" xfId="0" applyBorder="1" applyAlignment="1">
      <alignment wrapText="1"/>
    </xf>
    <xf numFmtId="164" fontId="0" fillId="0" borderId="1" xfId="0" applyNumberFormat="1" applyBorder="1" applyAlignment="1">
      <alignment horizontal="center" vertical="center" wrapText="1"/>
    </xf>
    <xf numFmtId="0" fontId="2" fillId="0" borderId="1" xfId="0" applyFont="1" applyBorder="1" applyAlignment="1">
      <alignment wrapText="1"/>
    </xf>
    <xf numFmtId="0" fontId="0" fillId="0" borderId="0" xfId="0"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64" fontId="0" fillId="0" borderId="1" xfId="0" applyNumberFormat="1" applyBorder="1" applyAlignment="1">
      <alignment horizontal="center"/>
    </xf>
    <xf numFmtId="164" fontId="0" fillId="0" borderId="0" xfId="0" applyNumberFormat="1" applyAlignment="1">
      <alignment horizontal="center" vertical="center" wrapText="1"/>
    </xf>
    <xf numFmtId="3" fontId="0" fillId="0" borderId="0" xfId="0" applyNumberFormat="1" applyAlignment="1">
      <alignment horizontal="center" vertical="center" wrapText="1"/>
    </xf>
    <xf numFmtId="165" fontId="0" fillId="0" borderId="1" xfId="0" applyNumberFormat="1" applyBorder="1" applyAlignment="1">
      <alignment horizontal="center" vertical="center" wrapText="1"/>
    </xf>
    <xf numFmtId="166" fontId="0" fillId="0" borderId="1" xfId="0" applyNumberFormat="1" applyBorder="1" applyAlignment="1">
      <alignment horizontal="center"/>
    </xf>
    <xf numFmtId="167" fontId="0" fillId="0" borderId="1" xfId="0" applyNumberFormat="1" applyBorder="1" applyAlignment="1">
      <alignment horizontal="center" vertical="center" wrapText="1"/>
    </xf>
    <xf numFmtId="164" fontId="3" fillId="0" borderId="0" xfId="0" applyNumberFormat="1" applyFont="1" applyAlignment="1">
      <alignment horizontal="center" wrapText="1"/>
    </xf>
    <xf numFmtId="167" fontId="0" fillId="0" borderId="1" xfId="0" applyNumberFormat="1" applyBorder="1" applyAlignment="1">
      <alignment horizontal="center"/>
    </xf>
    <xf numFmtId="0" fontId="5" fillId="0" borderId="1" xfId="0" applyFont="1" applyBorder="1" applyAlignment="1">
      <alignment horizontal="center" vertical="center" wrapText="1"/>
    </xf>
    <xf numFmtId="1" fontId="0" fillId="0" borderId="1" xfId="0" applyNumberFormat="1" applyBorder="1" applyAlignment="1">
      <alignment horizontal="center" vertical="center" wrapText="1"/>
    </xf>
    <xf numFmtId="1" fontId="0" fillId="0" borderId="1" xfId="0" applyNumberFormat="1" applyBorder="1" applyAlignment="1">
      <alignment horizontal="center"/>
    </xf>
    <xf numFmtId="166" fontId="0" fillId="0" borderId="1" xfId="0" applyNumberFormat="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0" fillId="0" borderId="0" xfId="0" applyAlignment="1">
      <alignment vertical="center"/>
    </xf>
    <xf numFmtId="1" fontId="0" fillId="0" borderId="0" xfId="0" applyNumberFormat="1" applyAlignment="1">
      <alignment horizontal="center" vertical="center" wrapText="1"/>
    </xf>
    <xf numFmtId="166" fontId="0" fillId="0" borderId="0" xfId="0" applyNumberFormat="1" applyAlignment="1">
      <alignment horizontal="center" vertical="center" wrapText="1"/>
    </xf>
    <xf numFmtId="0" fontId="0" fillId="0" borderId="6" xfId="0" applyBorder="1" applyAlignment="1">
      <alignment vertical="center" wrapText="1"/>
    </xf>
    <xf numFmtId="3" fontId="0" fillId="0" borderId="1" xfId="0" applyNumberFormat="1" applyBorder="1" applyAlignment="1">
      <alignment horizontal="center" vertical="center" wrapText="1"/>
    </xf>
    <xf numFmtId="169" fontId="0" fillId="0" borderId="1" xfId="0" applyNumberFormat="1" applyBorder="1" applyAlignment="1">
      <alignment horizontal="center" vertical="center" wrapText="1"/>
    </xf>
    <xf numFmtId="169" fontId="0" fillId="0" borderId="1" xfId="0" applyNumberFormat="1" applyBorder="1" applyAlignment="1">
      <alignment horizontal="center"/>
    </xf>
    <xf numFmtId="168" fontId="0" fillId="0" borderId="1" xfId="0" applyNumberFormat="1" applyBorder="1" applyAlignment="1">
      <alignment horizontal="center"/>
    </xf>
    <xf numFmtId="2" fontId="0" fillId="0" borderId="1" xfId="0" applyNumberFormat="1" applyBorder="1" applyAlignment="1">
      <alignment horizontal="center" vertical="center" wrapText="1"/>
    </xf>
    <xf numFmtId="2" fontId="0" fillId="0" borderId="0" xfId="0" applyNumberFormat="1" applyAlignment="1">
      <alignment horizontal="center" vertical="center" wrapText="1"/>
    </xf>
    <xf numFmtId="0" fontId="0" fillId="0" borderId="1" xfId="0" applyBorder="1" applyAlignment="1">
      <alignment horizontal="center" vertical="center"/>
    </xf>
    <xf numFmtId="1" fontId="0" fillId="0" borderId="0" xfId="0" applyNumberFormat="1" applyAlignment="1">
      <alignment vertical="center" wrapText="1"/>
    </xf>
    <xf numFmtId="4" fontId="0" fillId="0" borderId="1" xfId="0" applyNumberFormat="1" applyBorder="1" applyAlignment="1">
      <alignment horizontal="center" vertical="center"/>
    </xf>
    <xf numFmtId="3" fontId="0" fillId="0" borderId="0" xfId="0" applyNumberFormat="1" applyAlignment="1">
      <alignment wrapText="1"/>
    </xf>
    <xf numFmtId="167" fontId="0" fillId="0" borderId="1" xfId="0" applyNumberFormat="1" applyBorder="1" applyAlignment="1">
      <alignment horizontal="center" vertical="center"/>
    </xf>
    <xf numFmtId="4" fontId="0" fillId="0" borderId="1" xfId="0" applyNumberFormat="1" applyBorder="1" applyAlignment="1">
      <alignment horizontal="center"/>
    </xf>
    <xf numFmtId="0" fontId="8" fillId="0" borderId="0" xfId="0" applyFont="1"/>
    <xf numFmtId="165" fontId="0" fillId="0" borderId="1" xfId="0" applyNumberFormat="1" applyBorder="1" applyAlignment="1">
      <alignment horizontal="center"/>
    </xf>
    <xf numFmtId="1" fontId="0" fillId="0" borderId="4" xfId="0" applyNumberFormat="1" applyBorder="1" applyAlignment="1">
      <alignment horizontal="center" vertical="center" wrapText="1"/>
    </xf>
    <xf numFmtId="165" fontId="0" fillId="0" borderId="1" xfId="0" applyNumberFormat="1" applyBorder="1" applyAlignment="1">
      <alignment horizontal="center" vertical="center"/>
    </xf>
    <xf numFmtId="2" fontId="0" fillId="0" borderId="1" xfId="0" applyNumberFormat="1" applyBorder="1" applyAlignment="1">
      <alignment horizontal="center"/>
    </xf>
    <xf numFmtId="164" fontId="0" fillId="0" borderId="1" xfId="0" applyNumberFormat="1" applyBorder="1" applyAlignment="1">
      <alignment horizontal="center" vertical="center"/>
    </xf>
    <xf numFmtId="3" fontId="0" fillId="0" borderId="1" xfId="0" applyNumberFormat="1" applyBorder="1" applyAlignment="1">
      <alignment horizontal="center" vertical="center"/>
    </xf>
    <xf numFmtId="164" fontId="0" fillId="2" borderId="1" xfId="0" applyNumberFormat="1" applyFill="1" applyBorder="1" applyAlignment="1" applyProtection="1">
      <alignment horizontal="center" vertical="center"/>
      <protection locked="0"/>
    </xf>
    <xf numFmtId="164" fontId="0" fillId="2" borderId="1" xfId="0" applyNumberFormat="1" applyFill="1" applyBorder="1" applyAlignment="1" applyProtection="1">
      <alignment horizontal="center" vertical="center" wrapText="1"/>
      <protection locked="0"/>
    </xf>
    <xf numFmtId="3" fontId="0" fillId="2" borderId="1" xfId="0" applyNumberFormat="1" applyFill="1" applyBorder="1" applyAlignment="1" applyProtection="1">
      <alignment horizontal="center" vertical="center" wrapText="1"/>
      <protection locked="0"/>
    </xf>
    <xf numFmtId="3" fontId="0" fillId="2" borderId="1" xfId="0" applyNumberFormat="1" applyFill="1" applyBorder="1" applyAlignment="1" applyProtection="1">
      <alignment horizontal="center" vertical="center"/>
      <protection locked="0"/>
    </xf>
    <xf numFmtId="0" fontId="0" fillId="0" borderId="0" xfId="0" applyAlignment="1" applyProtection="1">
      <alignment wrapText="1"/>
      <protection locked="0"/>
    </xf>
    <xf numFmtId="0" fontId="0" fillId="2" borderId="1" xfId="0" applyFill="1" applyBorder="1" applyAlignment="1" applyProtection="1">
      <alignment horizontal="center" vertical="center" wrapText="1"/>
      <protection locked="0"/>
    </xf>
    <xf numFmtId="0" fontId="0" fillId="3" borderId="1" xfId="0" applyFill="1" applyBorder="1" applyAlignment="1" applyProtection="1">
      <alignment horizontal="center" vertical="center" wrapText="1"/>
      <protection locked="0"/>
    </xf>
    <xf numFmtId="2" fontId="0" fillId="2" borderId="1" xfId="0" applyNumberFormat="1" applyFill="1" applyBorder="1" applyAlignment="1" applyProtection="1">
      <alignment horizontal="center" vertical="center" wrapText="1"/>
      <protection locked="0"/>
    </xf>
    <xf numFmtId="1" fontId="0" fillId="2" borderId="1" xfId="0" applyNumberFormat="1" applyFill="1" applyBorder="1" applyAlignment="1" applyProtection="1">
      <alignment horizontal="center" vertical="center" wrapText="1"/>
      <protection locked="0"/>
    </xf>
    <xf numFmtId="165" fontId="0" fillId="2" borderId="1" xfId="0" applyNumberFormat="1" applyFill="1" applyBorder="1" applyAlignment="1" applyProtection="1">
      <alignment horizontal="center" vertical="center"/>
      <protection locked="0"/>
    </xf>
    <xf numFmtId="165" fontId="0" fillId="2" borderId="1" xfId="0" applyNumberFormat="1" applyFill="1" applyBorder="1" applyAlignment="1" applyProtection="1">
      <alignment horizontal="center" vertical="center" wrapText="1"/>
      <protection locked="0"/>
    </xf>
    <xf numFmtId="4" fontId="0" fillId="2" borderId="1" xfId="0" applyNumberFormat="1" applyFill="1" applyBorder="1" applyAlignment="1" applyProtection="1">
      <alignment horizontal="center" vertical="center"/>
      <protection locked="0"/>
    </xf>
    <xf numFmtId="0" fontId="0" fillId="0" borderId="1" xfId="0" applyBorder="1" applyAlignment="1">
      <alignment horizontal="center"/>
    </xf>
    <xf numFmtId="0" fontId="0" fillId="0" borderId="0" xfId="0" applyAlignment="1">
      <alignment horizontal="justify" vertical="center" wrapText="1"/>
    </xf>
    <xf numFmtId="0" fontId="10" fillId="0" borderId="1" xfId="0" applyFont="1" applyBorder="1" applyAlignment="1">
      <alignment horizontal="center"/>
    </xf>
    <xf numFmtId="0" fontId="13" fillId="4" borderId="1" xfId="0" applyFont="1" applyFill="1" applyBorder="1" applyAlignment="1" applyProtection="1">
      <alignment horizontal="center"/>
      <protection locked="0"/>
    </xf>
    <xf numFmtId="0" fontId="11" fillId="4" borderId="1" xfId="0" applyFont="1" applyFill="1" applyBorder="1" applyAlignment="1" applyProtection="1">
      <alignment horizontal="center"/>
      <protection locked="0"/>
    </xf>
    <xf numFmtId="0" fontId="12" fillId="4" borderId="1" xfId="1" applyFont="1" applyFill="1" applyBorder="1" applyAlignment="1" applyProtection="1">
      <alignment horizontal="center"/>
      <protection locked="0"/>
    </xf>
    <xf numFmtId="0" fontId="0" fillId="0" borderId="0" xfId="0" applyAlignment="1">
      <alignment horizontal="left" vertical="center" wrapText="1"/>
    </xf>
    <xf numFmtId="0" fontId="4" fillId="0" borderId="0" xfId="0" applyFont="1" applyAlignment="1">
      <alignment horizontal="center" wrapText="1"/>
    </xf>
    <xf numFmtId="0" fontId="0" fillId="0" borderId="1" xfId="0" applyBorder="1" applyAlignment="1">
      <alignment horizontal="center" vertical="center" textRotation="90"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3" fontId="0" fillId="2" borderId="1" xfId="0" applyNumberFormat="1" applyFill="1" applyBorder="1" applyAlignment="1" applyProtection="1">
      <alignment horizontal="center" vertical="center"/>
      <protection locked="0"/>
    </xf>
    <xf numFmtId="0" fontId="0" fillId="2" borderId="7" xfId="0" applyFill="1" applyBorder="1" applyAlignment="1" applyProtection="1">
      <alignment horizontal="center" vertical="center" wrapText="1"/>
      <protection locked="0"/>
    </xf>
    <xf numFmtId="0" fontId="0" fillId="2" borderId="8" xfId="0" applyFill="1" applyBorder="1" applyAlignment="1" applyProtection="1">
      <alignment horizontal="center" vertical="center" wrapText="1"/>
      <protection locked="0"/>
    </xf>
    <xf numFmtId="0" fontId="1" fillId="0" borderId="0" xfId="0" applyFont="1" applyAlignment="1">
      <alignment horizontal="left" vertical="center" wrapText="1"/>
    </xf>
    <xf numFmtId="0" fontId="6" fillId="0" borderId="0" xfId="0" applyFont="1" applyAlignment="1">
      <alignment horizontal="right" vertical="center" wrapText="1"/>
    </xf>
    <xf numFmtId="0" fontId="6" fillId="0" borderId="6" xfId="0" applyFont="1" applyBorder="1" applyAlignment="1">
      <alignment horizontal="right" vertical="center" wrapText="1"/>
    </xf>
    <xf numFmtId="0" fontId="0" fillId="0" borderId="0" xfId="0" applyAlignment="1">
      <alignment horizontal="right" vertical="center" wrapText="1"/>
    </xf>
    <xf numFmtId="0" fontId="0" fillId="0" borderId="6" xfId="0" applyBorder="1" applyAlignment="1">
      <alignment horizontal="right" vertical="center" wrapText="1"/>
    </xf>
    <xf numFmtId="0" fontId="0" fillId="0" borderId="1" xfId="0" applyBorder="1" applyAlignment="1">
      <alignment horizontal="center" vertical="center" wrapText="1"/>
    </xf>
    <xf numFmtId="166" fontId="0" fillId="0" borderId="1" xfId="0" applyNumberFormat="1" applyBorder="1" applyAlignment="1">
      <alignment horizontal="center" vertical="center" wrapText="1"/>
    </xf>
    <xf numFmtId="1" fontId="0" fillId="0" borderId="3" xfId="0" applyNumberFormat="1" applyBorder="1" applyAlignment="1">
      <alignment horizontal="center" vertical="center" wrapText="1"/>
    </xf>
    <xf numFmtId="1" fontId="0" fillId="0" borderId="4" xfId="0" applyNumberFormat="1" applyBorder="1" applyAlignment="1">
      <alignment horizontal="center" vertical="center" wrapText="1"/>
    </xf>
    <xf numFmtId="1" fontId="0" fillId="0" borderId="5" xfId="0" applyNumberFormat="1" applyBorder="1" applyAlignment="1">
      <alignment horizontal="center" vertical="center" wrapText="1"/>
    </xf>
    <xf numFmtId="0" fontId="2" fillId="0" borderId="1" xfId="0" applyFont="1" applyBorder="1" applyAlignment="1">
      <alignment horizontal="center" vertical="center" textRotation="90" wrapText="1"/>
    </xf>
  </cellXfs>
  <cellStyles count="2">
    <cellStyle name="Hyperlink" xfId="1" builtinId="8"/>
    <cellStyle name="Normal" xfId="0" builtinId="0"/>
  </cellStyles>
  <dxfs count="0"/>
  <tableStyles count="0" defaultTableStyle="TableStyleMedium9" defaultPivotStyle="PivotStyleLight16"/>
  <colors>
    <mruColors>
      <color rgb="FF66FF66"/>
      <color rgb="FFC0C0C0"/>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000" b="0"/>
              <a:t>EFFICACIA</a:t>
            </a:r>
          </a:p>
          <a:p>
            <a:pPr>
              <a:defRPr/>
            </a:pPr>
            <a:r>
              <a:rPr lang="en-US" sz="1200" b="0"/>
              <a:t>       +                   ++                  +++              </a:t>
            </a:r>
            <a:r>
              <a:rPr lang="en-US" sz="1200" b="0" baseline="0"/>
              <a:t> </a:t>
            </a:r>
            <a:r>
              <a:rPr lang="en-US" sz="1200" b="0"/>
              <a:t>  ++++ </a:t>
            </a:r>
            <a:r>
              <a:rPr lang="en-US" sz="1200" b="0" baseline="0"/>
              <a:t>              +++++</a:t>
            </a:r>
            <a:endParaRPr lang="en-US" sz="1200" b="0"/>
          </a:p>
        </c:rich>
      </c:tx>
      <c:layout>
        <c:manualLayout>
          <c:xMode val="edge"/>
          <c:yMode val="edge"/>
          <c:x val="0.11568391895677071"/>
          <c:y val="4.3276845829053945E-2"/>
        </c:manualLayout>
      </c:layout>
      <c:overlay val="0"/>
    </c:title>
    <c:autoTitleDeleted val="0"/>
    <c:plotArea>
      <c:layout/>
      <c:scatterChart>
        <c:scatterStyle val="lineMarker"/>
        <c:varyColors val="0"/>
        <c:ser>
          <c:idx val="0"/>
          <c:order val="0"/>
          <c:tx>
            <c:strRef>
              <c:f>Operativi!$D$255</c:f>
              <c:strCache>
                <c:ptCount val="1"/>
                <c:pt idx="0">
                  <c:v>Kg rifiuti pro capite giornaliera (RSU + Differenziata)</c:v>
                </c:pt>
              </c:strCache>
            </c:strRef>
          </c:tx>
          <c:spPr>
            <a:ln w="28575">
              <a:noFill/>
            </a:ln>
          </c:spPr>
          <c:marker>
            <c:symbol val="diamond"/>
            <c:size val="11"/>
          </c:marker>
          <c:xVal>
            <c:numRef>
              <c:f>Operativi!$C$256:$C$256</c:f>
              <c:numCache>
                <c:formatCode>0</c:formatCode>
                <c:ptCount val="1"/>
                <c:pt idx="0">
                  <c:v>65</c:v>
                </c:pt>
              </c:numCache>
            </c:numRef>
          </c:xVal>
          <c:yVal>
            <c:numRef>
              <c:f>Operativi!$D$256:$D$256</c:f>
              <c:numCache>
                <c:formatCode>0.00</c:formatCode>
                <c:ptCount val="1"/>
                <c:pt idx="0">
                  <c:v>1.2246575342465753</c:v>
                </c:pt>
              </c:numCache>
            </c:numRef>
          </c:yVal>
          <c:smooth val="0"/>
          <c:extLst>
            <c:ext xmlns:c16="http://schemas.microsoft.com/office/drawing/2014/chart" uri="{C3380CC4-5D6E-409C-BE32-E72D297353CC}">
              <c16:uniqueId val="{00000000-1904-4579-BC57-35A0EDE20A13}"/>
            </c:ext>
          </c:extLst>
        </c:ser>
        <c:dLbls>
          <c:showLegendKey val="0"/>
          <c:showVal val="0"/>
          <c:showCatName val="0"/>
          <c:showSerName val="0"/>
          <c:showPercent val="0"/>
          <c:showBubbleSize val="0"/>
        </c:dLbls>
        <c:axId val="106583552"/>
        <c:axId val="106585088"/>
      </c:scatterChart>
      <c:valAx>
        <c:axId val="106583552"/>
        <c:scaling>
          <c:orientation val="minMax"/>
          <c:max val="100"/>
        </c:scaling>
        <c:delete val="0"/>
        <c:axPos val="b"/>
        <c:majorGridlines>
          <c:spPr>
            <a:ln w="12700"/>
          </c:spPr>
        </c:majorGridlines>
        <c:minorGridlines>
          <c:spPr>
            <a:ln w="9525"/>
          </c:spPr>
        </c:minorGridlines>
        <c:numFmt formatCode="General" sourceLinked="0"/>
        <c:majorTickMark val="out"/>
        <c:minorTickMark val="none"/>
        <c:tickLblPos val="nextTo"/>
        <c:spPr>
          <a:ln w="12700">
            <a:solidFill>
              <a:schemeClr val="tx1"/>
            </a:solidFill>
          </a:ln>
        </c:spPr>
        <c:crossAx val="106585088"/>
        <c:crossesAt val="0"/>
        <c:crossBetween val="midCat"/>
        <c:majorUnit val="10"/>
        <c:minorUnit val="10"/>
      </c:valAx>
      <c:valAx>
        <c:axId val="106585088"/>
        <c:scaling>
          <c:orientation val="minMax"/>
          <c:max val="2.25"/>
          <c:min val="0"/>
        </c:scaling>
        <c:delete val="0"/>
        <c:axPos val="l"/>
        <c:majorGridlines/>
        <c:numFmt formatCode="0.00" sourceLinked="1"/>
        <c:majorTickMark val="out"/>
        <c:minorTickMark val="none"/>
        <c:tickLblPos val="nextTo"/>
        <c:spPr>
          <a:ln w="12700">
            <a:solidFill>
              <a:schemeClr val="tx1"/>
            </a:solidFill>
          </a:ln>
        </c:spPr>
        <c:crossAx val="106583552"/>
        <c:crossesAt val="0"/>
        <c:crossBetween val="midCat"/>
        <c:majorUnit val="0.25"/>
        <c:minorUnit val="4.0000000000000022E-2"/>
      </c:valAx>
    </c:plotArea>
    <c:plotVisOnly val="1"/>
    <c:dispBlanksAs val="gap"/>
    <c:showDLblsOverMax val="0"/>
  </c:chart>
  <c:spPr>
    <a:ln>
      <a:noFill/>
    </a:ln>
  </c:spPr>
  <c:printSettings>
    <c:headerFooter/>
    <c:pageMargins b="0.75000000000000155" l="0.70000000000000062" r="0.70000000000000062" t="0.75000000000000155"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742950</xdr:colOff>
      <xdr:row>1</xdr:row>
      <xdr:rowOff>9525</xdr:rowOff>
    </xdr:from>
    <xdr:to>
      <xdr:col>4</xdr:col>
      <xdr:colOff>342900</xdr:colOff>
      <xdr:row>4</xdr:row>
      <xdr:rowOff>23045</xdr:rowOff>
    </xdr:to>
    <xdr:pic>
      <xdr:nvPicPr>
        <xdr:cNvPr id="2" name="Picture 6">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00325" y="200025"/>
          <a:ext cx="695325" cy="78504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257</xdr:row>
      <xdr:rowOff>0</xdr:rowOff>
    </xdr:from>
    <xdr:to>
      <xdr:col>5</xdr:col>
      <xdr:colOff>47625</xdr:colOff>
      <xdr:row>275</xdr:row>
      <xdr:rowOff>76200</xdr:rowOff>
    </xdr:to>
    <xdr:graphicFrame macro="">
      <xdr:nvGraphicFramePr>
        <xdr:cNvPr id="6" name="Grafico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1552575</xdr:colOff>
      <xdr:row>258</xdr:row>
      <xdr:rowOff>19050</xdr:rowOff>
    </xdr:from>
    <xdr:to>
      <xdr:col>5</xdr:col>
      <xdr:colOff>161925</xdr:colOff>
      <xdr:row>274</xdr:row>
      <xdr:rowOff>142875</xdr:rowOff>
    </xdr:to>
    <xdr:sp macro="" textlink="">
      <xdr:nvSpPr>
        <xdr:cNvPr id="7" name="CasellaDiTesto 6">
          <a:extLst>
            <a:ext uri="{FF2B5EF4-FFF2-40B4-BE49-F238E27FC236}">
              <a16:creationId xmlns:a16="http://schemas.microsoft.com/office/drawing/2014/main" id="{00000000-0008-0000-0200-000007000000}"/>
            </a:ext>
          </a:extLst>
        </xdr:cNvPr>
        <xdr:cNvSpPr txBox="1"/>
      </xdr:nvSpPr>
      <xdr:spPr>
        <a:xfrm>
          <a:off x="5524500" y="63036450"/>
          <a:ext cx="257175" cy="3171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lnSpc>
              <a:spcPts val="2300"/>
            </a:lnSpc>
          </a:pPr>
          <a:endParaRPr lang="it-IT" sz="1100"/>
        </a:p>
        <a:p>
          <a:pPr algn="ctr">
            <a:lnSpc>
              <a:spcPts val="2300"/>
            </a:lnSpc>
          </a:pPr>
          <a:r>
            <a:rPr lang="it-IT" sz="1100"/>
            <a:t>I</a:t>
          </a:r>
        </a:p>
        <a:p>
          <a:pPr algn="ctr">
            <a:lnSpc>
              <a:spcPts val="2300"/>
            </a:lnSpc>
          </a:pPr>
          <a:r>
            <a:rPr lang="it-IT" sz="1100"/>
            <a:t>H</a:t>
          </a:r>
        </a:p>
        <a:p>
          <a:pPr algn="ctr">
            <a:lnSpc>
              <a:spcPts val="2300"/>
            </a:lnSpc>
          </a:pPr>
          <a:r>
            <a:rPr lang="it-IT" sz="1100"/>
            <a:t>G</a:t>
          </a:r>
        </a:p>
        <a:p>
          <a:pPr algn="ctr">
            <a:lnSpc>
              <a:spcPts val="2300"/>
            </a:lnSpc>
          </a:pPr>
          <a:r>
            <a:rPr lang="it-IT" sz="1100"/>
            <a:t>F</a:t>
          </a:r>
        </a:p>
        <a:p>
          <a:pPr algn="ctr">
            <a:lnSpc>
              <a:spcPts val="2300"/>
            </a:lnSpc>
          </a:pPr>
          <a:r>
            <a:rPr lang="it-IT" sz="1100"/>
            <a:t>E</a:t>
          </a:r>
        </a:p>
        <a:p>
          <a:pPr algn="ctr">
            <a:lnSpc>
              <a:spcPts val="2300"/>
            </a:lnSpc>
          </a:pPr>
          <a:r>
            <a:rPr lang="it-IT" sz="1100"/>
            <a:t>D</a:t>
          </a:r>
        </a:p>
        <a:p>
          <a:pPr algn="ctr">
            <a:lnSpc>
              <a:spcPts val="2300"/>
            </a:lnSpc>
          </a:pPr>
          <a:r>
            <a:rPr lang="it-IT" sz="1100"/>
            <a:t>C</a:t>
          </a:r>
        </a:p>
        <a:p>
          <a:pPr algn="ctr">
            <a:lnSpc>
              <a:spcPts val="2300"/>
            </a:lnSpc>
          </a:pPr>
          <a:r>
            <a:rPr lang="it-IT" sz="1100"/>
            <a:t>B</a:t>
          </a:r>
        </a:p>
        <a:p>
          <a:pPr algn="ctr">
            <a:lnSpc>
              <a:spcPts val="2300"/>
            </a:lnSpc>
          </a:pPr>
          <a:r>
            <a:rPr lang="it-IT" sz="1100"/>
            <a:t>A</a:t>
          </a:r>
        </a:p>
      </xdr:txBody>
    </xdr:sp>
    <xdr:clientData/>
  </xdr:twoCellAnchor>
  <xdr:twoCellAnchor>
    <xdr:from>
      <xdr:col>5</xdr:col>
      <xdr:colOff>76200</xdr:colOff>
      <xdr:row>257</xdr:row>
      <xdr:rowOff>9526</xdr:rowOff>
    </xdr:from>
    <xdr:to>
      <xdr:col>5</xdr:col>
      <xdr:colOff>390525</xdr:colOff>
      <xdr:row>274</xdr:row>
      <xdr:rowOff>38100</xdr:rowOff>
    </xdr:to>
    <xdr:sp macro="" textlink="">
      <xdr:nvSpPr>
        <xdr:cNvPr id="8" name="CasellaDiTesto 7">
          <a:extLst>
            <a:ext uri="{FF2B5EF4-FFF2-40B4-BE49-F238E27FC236}">
              <a16:creationId xmlns:a16="http://schemas.microsoft.com/office/drawing/2014/main" id="{00000000-0008-0000-0200-000008000000}"/>
            </a:ext>
          </a:extLst>
        </xdr:cNvPr>
        <xdr:cNvSpPr txBox="1"/>
      </xdr:nvSpPr>
      <xdr:spPr>
        <a:xfrm>
          <a:off x="5695950" y="62836426"/>
          <a:ext cx="314325" cy="32670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vert="vert270" wrap="square" rtlCol="0" anchor="ctr" anchorCtr="0"/>
        <a:lstStyle/>
        <a:p>
          <a:r>
            <a:rPr lang="it-IT" sz="1100"/>
            <a:t>          Classe</a:t>
          </a:r>
          <a:r>
            <a:rPr lang="it-IT" sz="1100" baseline="0"/>
            <a:t> di appartenenza</a:t>
          </a:r>
          <a:endParaRPr lang="it-IT" sz="1100"/>
        </a:p>
      </xdr:txBody>
    </xdr:sp>
    <xdr:clientData/>
  </xdr:twoCellAnchor>
  <xdr:twoCellAnchor>
    <xdr:from>
      <xdr:col>2</xdr:col>
      <xdr:colOff>676275</xdr:colOff>
      <xdr:row>275</xdr:row>
      <xdr:rowOff>57150</xdr:rowOff>
    </xdr:from>
    <xdr:to>
      <xdr:col>4</xdr:col>
      <xdr:colOff>1400175</xdr:colOff>
      <xdr:row>276</xdr:row>
      <xdr:rowOff>95250</xdr:rowOff>
    </xdr:to>
    <xdr:sp macro="" textlink="">
      <xdr:nvSpPr>
        <xdr:cNvPr id="9" name="CasellaDiTesto 8">
          <a:extLst>
            <a:ext uri="{FF2B5EF4-FFF2-40B4-BE49-F238E27FC236}">
              <a16:creationId xmlns:a16="http://schemas.microsoft.com/office/drawing/2014/main" id="{00000000-0008-0000-0200-000009000000}"/>
            </a:ext>
          </a:extLst>
        </xdr:cNvPr>
        <xdr:cNvSpPr txBox="1"/>
      </xdr:nvSpPr>
      <xdr:spPr>
        <a:xfrm>
          <a:off x="1352550" y="66313050"/>
          <a:ext cx="40195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it-IT" sz="1100"/>
            <a:t>percentuale raccolta rifiuti</a:t>
          </a:r>
        </a:p>
      </xdr:txBody>
    </xdr:sp>
    <xdr:clientData/>
  </xdr:twoCellAnchor>
  <xdr:oneCellAnchor>
    <xdr:from>
      <xdr:col>6</xdr:col>
      <xdr:colOff>523875</xdr:colOff>
      <xdr:row>262</xdr:row>
      <xdr:rowOff>38100</xdr:rowOff>
    </xdr:from>
    <xdr:ext cx="184731" cy="264560"/>
    <xdr:sp macro="" textlink="">
      <xdr:nvSpPr>
        <xdr:cNvPr id="10" name="CasellaDiTesto 9">
          <a:extLst>
            <a:ext uri="{FF2B5EF4-FFF2-40B4-BE49-F238E27FC236}">
              <a16:creationId xmlns:a16="http://schemas.microsoft.com/office/drawing/2014/main" id="{00000000-0008-0000-0200-00000A000000}"/>
            </a:ext>
          </a:extLst>
        </xdr:cNvPr>
        <xdr:cNvSpPr txBox="1"/>
      </xdr:nvSpPr>
      <xdr:spPr>
        <a:xfrm>
          <a:off x="7791450" y="6381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it-IT" sz="1100"/>
        </a:p>
      </xdr:txBody>
    </xdr:sp>
    <xdr:clientData/>
  </xdr:oneCellAnchor>
  <xdr:twoCellAnchor>
    <xdr:from>
      <xdr:col>1</xdr:col>
      <xdr:colOff>200025</xdr:colOff>
      <xdr:row>259</xdr:row>
      <xdr:rowOff>95250</xdr:rowOff>
    </xdr:from>
    <xdr:to>
      <xdr:col>2</xdr:col>
      <xdr:colOff>219075</xdr:colOff>
      <xdr:row>276</xdr:row>
      <xdr:rowOff>76200</xdr:rowOff>
    </xdr:to>
    <xdr:sp macro="" textlink="">
      <xdr:nvSpPr>
        <xdr:cNvPr id="11" name="CasellaDiTesto 10">
          <a:extLst>
            <a:ext uri="{FF2B5EF4-FFF2-40B4-BE49-F238E27FC236}">
              <a16:creationId xmlns:a16="http://schemas.microsoft.com/office/drawing/2014/main" id="{00000000-0008-0000-0200-00000B000000}"/>
            </a:ext>
          </a:extLst>
        </xdr:cNvPr>
        <xdr:cNvSpPr txBox="1"/>
      </xdr:nvSpPr>
      <xdr:spPr>
        <a:xfrm>
          <a:off x="581025" y="63303150"/>
          <a:ext cx="314325" cy="3219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vert="vert270" wrap="square" rtlCol="0" anchor="t" anchorCtr="0"/>
        <a:lstStyle/>
        <a:p>
          <a:pPr algn="l"/>
          <a:r>
            <a:rPr lang="it-IT" sz="1100"/>
            <a:t>          rifiuti kg pro capite (somma RSU</a:t>
          </a:r>
          <a:r>
            <a:rPr lang="it-IT" sz="1100" baseline="0"/>
            <a:t> + differenziata)</a:t>
          </a:r>
        </a:p>
        <a:p>
          <a:endParaRPr lang="it-IT"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0.96047</cdr:x>
      <cdr:y>0.07337</cdr:y>
    </cdr:from>
    <cdr:to>
      <cdr:x>1</cdr:x>
      <cdr:y>0.92663</cdr:y>
    </cdr:to>
    <cdr:sp macro="" textlink="">
      <cdr:nvSpPr>
        <cdr:cNvPr id="2" name="CasellaDiTesto 1"/>
        <cdr:cNvSpPr txBox="1"/>
      </cdr:nvSpPr>
      <cdr:spPr>
        <a:xfrm xmlns:a="http://schemas.openxmlformats.org/drawingml/2006/main">
          <a:off x="4695825" y="257175"/>
          <a:ext cx="190500" cy="2990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it-IT" sz="1100"/>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C0C0"/>
  </sheetPr>
  <dimension ref="C1:F23"/>
  <sheetViews>
    <sheetView topLeftCell="A9" workbookViewId="0">
      <selection activeCell="C17" sqref="C17:F17"/>
    </sheetView>
  </sheetViews>
  <sheetFormatPr defaultRowHeight="14.5"/>
  <cols>
    <col min="1" max="2" width="5.7265625" customWidth="1"/>
    <col min="3" max="6" width="16.453125" customWidth="1"/>
    <col min="7" max="8" width="5.7265625" customWidth="1"/>
  </cols>
  <sheetData>
    <row r="1" spans="3:6" ht="20.25" customHeight="1"/>
    <row r="2" spans="3:6" ht="20.25" customHeight="1"/>
    <row r="3" spans="3:6" ht="20.25" customHeight="1"/>
    <row r="4" spans="3:6" ht="20.25" customHeight="1"/>
    <row r="5" spans="3:6" ht="20.25" customHeight="1"/>
    <row r="6" spans="3:6" ht="20.25" customHeight="1"/>
    <row r="7" spans="3:6" ht="21.75" customHeight="1">
      <c r="C7" s="70" t="s">
        <v>423</v>
      </c>
      <c r="D7" s="70"/>
      <c r="E7" s="70"/>
      <c r="F7" s="70"/>
    </row>
    <row r="8" spans="3:6" ht="21.75" customHeight="1">
      <c r="C8" s="70"/>
      <c r="D8" s="70"/>
      <c r="E8" s="70"/>
      <c r="F8" s="70"/>
    </row>
    <row r="9" spans="3:6" ht="21.75" customHeight="1">
      <c r="C9" s="70"/>
      <c r="D9" s="70"/>
      <c r="E9" s="70"/>
      <c r="F9" s="70"/>
    </row>
    <row r="12" spans="3:6" ht="30.75" customHeight="1">
      <c r="C12" s="71" t="s">
        <v>397</v>
      </c>
      <c r="D12" s="71"/>
      <c r="E12" s="71"/>
      <c r="F12" s="71"/>
    </row>
    <row r="13" spans="3:6" ht="30.75" customHeight="1">
      <c r="C13" s="72"/>
      <c r="D13" s="72"/>
      <c r="E13" s="72"/>
      <c r="F13" s="72"/>
    </row>
    <row r="16" spans="3:6" ht="26.25" customHeight="1">
      <c r="C16" s="69" t="s">
        <v>398</v>
      </c>
      <c r="D16" s="69"/>
      <c r="E16" s="69"/>
      <c r="F16" s="69"/>
    </row>
    <row r="17" spans="3:6" ht="26.25" customHeight="1">
      <c r="C17" s="73"/>
      <c r="D17" s="73"/>
      <c r="E17" s="73"/>
      <c r="F17" s="73"/>
    </row>
    <row r="18" spans="3:6" ht="26.25" customHeight="1">
      <c r="C18" s="69" t="s">
        <v>399</v>
      </c>
      <c r="D18" s="69"/>
      <c r="E18" s="69"/>
      <c r="F18" s="69"/>
    </row>
    <row r="19" spans="3:6" ht="26.25" customHeight="1">
      <c r="C19" s="73"/>
      <c r="D19" s="73"/>
      <c r="E19" s="73"/>
      <c r="F19" s="73"/>
    </row>
    <row r="20" spans="3:6" ht="26.25" customHeight="1">
      <c r="C20" s="69" t="s">
        <v>400</v>
      </c>
      <c r="D20" s="69"/>
      <c r="E20" s="69"/>
      <c r="F20" s="69"/>
    </row>
    <row r="21" spans="3:6" ht="26.25" customHeight="1">
      <c r="C21" s="74"/>
      <c r="D21" s="73"/>
      <c r="E21" s="73"/>
      <c r="F21" s="73"/>
    </row>
    <row r="22" spans="3:6" ht="26.25" customHeight="1">
      <c r="C22" s="69" t="s">
        <v>401</v>
      </c>
      <c r="D22" s="69"/>
      <c r="E22" s="69"/>
      <c r="F22" s="69"/>
    </row>
    <row r="23" spans="3:6" ht="26.25" customHeight="1">
      <c r="C23" s="73"/>
      <c r="D23" s="73"/>
      <c r="E23" s="73"/>
      <c r="F23" s="73"/>
    </row>
  </sheetData>
  <sheetProtection password="C97A" sheet="1" objects="1" scenarios="1"/>
  <mergeCells count="11">
    <mergeCell ref="C19:F19"/>
    <mergeCell ref="C20:F20"/>
    <mergeCell ref="C21:F21"/>
    <mergeCell ref="C22:F22"/>
    <mergeCell ref="C23:F23"/>
    <mergeCell ref="C18:F18"/>
    <mergeCell ref="C7:F9"/>
    <mergeCell ref="C12:F12"/>
    <mergeCell ref="C13:F13"/>
    <mergeCell ref="C16:F16"/>
    <mergeCell ref="C17:F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L119"/>
  <sheetViews>
    <sheetView zoomScale="75" zoomScaleNormal="75" workbookViewId="0">
      <selection activeCell="G6" sqref="G6"/>
    </sheetView>
  </sheetViews>
  <sheetFormatPr defaultColWidth="9.1796875" defaultRowHeight="14.5"/>
  <cols>
    <col min="1" max="1" width="3.26953125" style="2" customWidth="1"/>
    <col min="2" max="2" width="6.453125" style="2" customWidth="1"/>
    <col min="3" max="5" width="24.7265625" style="2" customWidth="1"/>
    <col min="6" max="6" width="24.54296875" style="2" customWidth="1"/>
    <col min="7" max="7" width="24.7265625" style="2" customWidth="1"/>
    <col min="8" max="16384" width="9.1796875" style="2"/>
  </cols>
  <sheetData>
    <row r="1" spans="1:7" ht="18.5">
      <c r="A1" s="76" t="s">
        <v>76</v>
      </c>
      <c r="B1" s="76"/>
      <c r="C1" s="76"/>
      <c r="D1" s="76"/>
      <c r="E1" s="76"/>
      <c r="F1" s="76"/>
      <c r="G1" s="76"/>
    </row>
    <row r="3" spans="1:7">
      <c r="C3" s="6" t="s">
        <v>2</v>
      </c>
      <c r="D3" s="6" t="s">
        <v>3</v>
      </c>
    </row>
    <row r="4" spans="1:7" ht="54.75" customHeight="1">
      <c r="C4" s="75" t="s">
        <v>5</v>
      </c>
      <c r="D4" s="75"/>
      <c r="E4" s="75"/>
      <c r="F4" s="75"/>
    </row>
    <row r="6" spans="1:7" s="1" customFormat="1" ht="35.15" customHeight="1">
      <c r="C6" s="4" t="s">
        <v>0</v>
      </c>
      <c r="D6" s="4" t="s">
        <v>4</v>
      </c>
      <c r="E6" s="4" t="s">
        <v>1</v>
      </c>
      <c r="F6" s="4" t="s">
        <v>13</v>
      </c>
    </row>
    <row r="7" spans="1:7" s="1" customFormat="1" ht="37.5" customHeight="1">
      <c r="C7" s="57">
        <v>8683561.3800000008</v>
      </c>
      <c r="D7" s="58">
        <v>4180143.1799999997</v>
      </c>
      <c r="E7" s="57">
        <v>15909375.27</v>
      </c>
      <c r="F7" s="5">
        <f>(C7+D7)/E7</f>
        <v>0.80856126288358032</v>
      </c>
    </row>
    <row r="8" spans="1:7">
      <c r="C8" s="3"/>
    </row>
    <row r="9" spans="1:7">
      <c r="C9" s="2" t="s">
        <v>6</v>
      </c>
    </row>
    <row r="10" spans="1:7" ht="34.5" customHeight="1">
      <c r="C10" s="75"/>
      <c r="D10" s="75"/>
      <c r="E10" s="75"/>
      <c r="F10" s="75"/>
    </row>
    <row r="11" spans="1:7" ht="15" thickBot="1">
      <c r="C11" s="7"/>
      <c r="D11" s="7"/>
      <c r="E11" s="7"/>
      <c r="F11" s="7"/>
      <c r="G11" s="7"/>
    </row>
    <row r="13" spans="1:7">
      <c r="C13" s="6" t="s">
        <v>7</v>
      </c>
      <c r="D13" s="8" t="s">
        <v>8</v>
      </c>
    </row>
    <row r="14" spans="1:7" ht="49.5" customHeight="1">
      <c r="C14" s="75" t="s">
        <v>35</v>
      </c>
      <c r="D14" s="75"/>
      <c r="E14" s="75"/>
      <c r="F14" s="75"/>
    </row>
    <row r="16" spans="1:7" ht="35.15" customHeight="1">
      <c r="C16" s="4" t="s">
        <v>9</v>
      </c>
      <c r="D16" s="4" t="s">
        <v>11</v>
      </c>
      <c r="E16" s="4" t="s">
        <v>10</v>
      </c>
      <c r="F16" s="4" t="s">
        <v>12</v>
      </c>
      <c r="G16" s="4" t="s">
        <v>14</v>
      </c>
    </row>
    <row r="17" spans="1:7" ht="35.15" customHeight="1">
      <c r="C17" s="57">
        <v>90</v>
      </c>
      <c r="D17" s="58">
        <v>90</v>
      </c>
      <c r="E17" s="57">
        <v>100</v>
      </c>
      <c r="F17" s="57">
        <v>100</v>
      </c>
      <c r="G17" s="5">
        <f>(C17+D17)/(E17+F17)</f>
        <v>0.9</v>
      </c>
    </row>
    <row r="18" spans="1:7">
      <c r="C18" s="3"/>
    </row>
    <row r="19" spans="1:7">
      <c r="C19" s="2" t="s">
        <v>6</v>
      </c>
    </row>
    <row r="20" spans="1:7">
      <c r="C20" s="75"/>
      <c r="D20" s="75"/>
      <c r="E20" s="75"/>
      <c r="F20" s="75"/>
    </row>
    <row r="21" spans="1:7" ht="15" thickBot="1">
      <c r="C21" s="7"/>
      <c r="D21" s="7"/>
      <c r="E21" s="7"/>
      <c r="F21" s="7"/>
      <c r="G21" s="7"/>
    </row>
    <row r="24" spans="1:7">
      <c r="C24" s="6" t="s">
        <v>25</v>
      </c>
      <c r="D24" s="8" t="s">
        <v>26</v>
      </c>
    </row>
    <row r="25" spans="1:7" ht="37.5" customHeight="1">
      <c r="C25" s="75" t="s">
        <v>42</v>
      </c>
      <c r="D25" s="75"/>
      <c r="E25" s="75"/>
      <c r="F25" s="75"/>
    </row>
    <row r="27" spans="1:7">
      <c r="C27" s="4" t="s">
        <v>27</v>
      </c>
      <c r="D27" s="4" t="s">
        <v>28</v>
      </c>
      <c r="E27" s="4" t="s">
        <v>15</v>
      </c>
      <c r="F27" s="1"/>
    </row>
    <row r="28" spans="1:7">
      <c r="A28" s="77" t="s">
        <v>34</v>
      </c>
      <c r="B28" s="11" t="s">
        <v>29</v>
      </c>
      <c r="C28" s="57">
        <v>100</v>
      </c>
      <c r="D28" s="58">
        <v>90</v>
      </c>
      <c r="E28" s="5" t="str">
        <f>IF(C28=D28,"=1",IF(C28&lt;D28,"&lt;1","&gt;1"))</f>
        <v>&gt;1</v>
      </c>
      <c r="F28" s="10"/>
    </row>
    <row r="29" spans="1:7">
      <c r="A29" s="77"/>
      <c r="B29" s="11" t="s">
        <v>30</v>
      </c>
      <c r="C29" s="57">
        <v>10</v>
      </c>
      <c r="D29" s="58">
        <v>11</v>
      </c>
      <c r="E29" s="5" t="str">
        <f t="shared" ref="E29:E35" si="0">IF(C29=D29,"=1",IF(C29&lt;D29,"&lt;1","&gt;1"))</f>
        <v>&lt;1</v>
      </c>
      <c r="F29" s="10"/>
    </row>
    <row r="30" spans="1:7">
      <c r="A30" s="77"/>
      <c r="B30" s="11" t="s">
        <v>31</v>
      </c>
      <c r="C30" s="57">
        <v>11</v>
      </c>
      <c r="D30" s="58">
        <v>9</v>
      </c>
      <c r="E30" s="5" t="str">
        <f t="shared" si="0"/>
        <v>&gt;1</v>
      </c>
      <c r="F30" s="10"/>
    </row>
    <row r="31" spans="1:7">
      <c r="A31" s="77"/>
      <c r="B31" s="11" t="s">
        <v>32</v>
      </c>
      <c r="C31" s="57">
        <v>8</v>
      </c>
      <c r="D31" s="58">
        <v>8</v>
      </c>
      <c r="E31" s="5" t="str">
        <f t="shared" si="0"/>
        <v>=1</v>
      </c>
      <c r="F31" s="10"/>
    </row>
    <row r="32" spans="1:7">
      <c r="A32" s="77"/>
      <c r="B32" s="11" t="s">
        <v>33</v>
      </c>
      <c r="C32" s="57">
        <v>12</v>
      </c>
      <c r="D32" s="58">
        <v>10</v>
      </c>
      <c r="E32" s="5" t="str">
        <f t="shared" si="0"/>
        <v>&gt;1</v>
      </c>
      <c r="F32" s="10"/>
    </row>
    <row r="33" spans="1:7">
      <c r="A33" s="77" t="s">
        <v>36</v>
      </c>
      <c r="B33" s="11" t="s">
        <v>29</v>
      </c>
      <c r="C33" s="57">
        <v>12</v>
      </c>
      <c r="D33" s="58">
        <v>14</v>
      </c>
      <c r="E33" s="5" t="str">
        <f t="shared" si="0"/>
        <v>&lt;1</v>
      </c>
      <c r="F33" s="10"/>
    </row>
    <row r="34" spans="1:7">
      <c r="A34" s="77"/>
      <c r="B34" s="11" t="s">
        <v>30</v>
      </c>
      <c r="C34" s="57">
        <v>3</v>
      </c>
      <c r="D34" s="58">
        <v>3</v>
      </c>
      <c r="E34" s="5" t="str">
        <f t="shared" si="0"/>
        <v>=1</v>
      </c>
      <c r="F34" s="10"/>
    </row>
    <row r="35" spans="1:7">
      <c r="A35" s="77"/>
      <c r="B35" s="11" t="s">
        <v>31</v>
      </c>
      <c r="C35" s="57">
        <v>5</v>
      </c>
      <c r="D35" s="58">
        <v>1</v>
      </c>
      <c r="E35" s="5" t="str">
        <f t="shared" si="0"/>
        <v>&gt;1</v>
      </c>
      <c r="F35" s="10"/>
    </row>
    <row r="36" spans="1:7">
      <c r="C36" s="3"/>
    </row>
    <row r="37" spans="1:7">
      <c r="C37" s="2" t="s">
        <v>6</v>
      </c>
    </row>
    <row r="38" spans="1:7" ht="23.25" customHeight="1">
      <c r="C38" s="75"/>
      <c r="D38" s="75"/>
      <c r="E38" s="75"/>
      <c r="F38" s="75"/>
    </row>
    <row r="39" spans="1:7" ht="15" thickBot="1">
      <c r="C39" s="7"/>
      <c r="D39" s="7"/>
      <c r="E39" s="7"/>
      <c r="F39" s="7"/>
      <c r="G39" s="7"/>
    </row>
    <row r="41" spans="1:7">
      <c r="C41" s="6" t="s">
        <v>37</v>
      </c>
      <c r="D41" s="8" t="s">
        <v>38</v>
      </c>
    </row>
    <row r="42" spans="1:7" ht="38.25" customHeight="1">
      <c r="C42" s="75" t="s">
        <v>43</v>
      </c>
      <c r="D42" s="75"/>
      <c r="E42" s="75"/>
      <c r="F42" s="75"/>
    </row>
    <row r="44" spans="1:7">
      <c r="C44" s="4" t="s">
        <v>39</v>
      </c>
      <c r="D44" s="4" t="s">
        <v>40</v>
      </c>
      <c r="E44" s="4" t="s">
        <v>17</v>
      </c>
      <c r="F44" s="1"/>
    </row>
    <row r="45" spans="1:7">
      <c r="C45" s="57">
        <v>1960000</v>
      </c>
      <c r="D45" s="59">
        <v>15520</v>
      </c>
      <c r="E45" s="12">
        <f>C45/D45</f>
        <v>126.28865979381443</v>
      </c>
      <c r="F45" s="10"/>
    </row>
    <row r="47" spans="1:7">
      <c r="C47" s="2" t="s">
        <v>6</v>
      </c>
    </row>
    <row r="48" spans="1:7" ht="28.5" customHeight="1">
      <c r="C48" s="75"/>
      <c r="D48" s="75"/>
      <c r="E48" s="75"/>
      <c r="F48" s="75"/>
    </row>
    <row r="49" spans="3:7" ht="15" thickBot="1">
      <c r="C49" s="7"/>
      <c r="D49" s="7"/>
      <c r="E49" s="7"/>
      <c r="F49" s="7"/>
      <c r="G49" s="7"/>
    </row>
    <row r="51" spans="3:7">
      <c r="C51" s="6" t="s">
        <v>44</v>
      </c>
      <c r="D51" s="8" t="s">
        <v>45</v>
      </c>
    </row>
    <row r="52" spans="3:7" ht="46.5" customHeight="1">
      <c r="C52" s="75" t="s">
        <v>46</v>
      </c>
      <c r="D52" s="75"/>
      <c r="E52" s="75"/>
      <c r="F52" s="75"/>
    </row>
    <row r="54" spans="3:7">
      <c r="C54" s="4" t="s">
        <v>422</v>
      </c>
      <c r="D54" s="4" t="s">
        <v>40</v>
      </c>
      <c r="E54" s="4" t="s">
        <v>18</v>
      </c>
      <c r="F54" s="1"/>
    </row>
    <row r="55" spans="3:7">
      <c r="C55" s="55">
        <f>C7</f>
        <v>8683561.3800000008</v>
      </c>
      <c r="D55" s="38">
        <f>D45</f>
        <v>15520</v>
      </c>
      <c r="E55" s="12">
        <f>C55/D55</f>
        <v>559.50782087628875</v>
      </c>
      <c r="F55" s="10"/>
    </row>
    <row r="57" spans="3:7">
      <c r="C57" s="2" t="s">
        <v>6</v>
      </c>
    </row>
    <row r="58" spans="3:7">
      <c r="C58" s="75"/>
      <c r="D58" s="75"/>
      <c r="E58" s="75"/>
      <c r="F58" s="75"/>
    </row>
    <row r="59" spans="3:7" ht="15" thickBot="1">
      <c r="C59" s="7"/>
      <c r="D59" s="7"/>
      <c r="E59" s="7"/>
      <c r="F59" s="7"/>
      <c r="G59" s="7"/>
    </row>
    <row r="61" spans="3:7">
      <c r="C61" s="6" t="s">
        <v>47</v>
      </c>
      <c r="D61" s="8" t="s">
        <v>48</v>
      </c>
    </row>
    <row r="62" spans="3:7" ht="51" customHeight="1">
      <c r="C62" s="75" t="s">
        <v>49</v>
      </c>
      <c r="D62" s="75"/>
      <c r="E62" s="75"/>
      <c r="F62" s="75"/>
    </row>
    <row r="64" spans="3:7">
      <c r="C64" s="4" t="s">
        <v>50</v>
      </c>
      <c r="D64" s="1"/>
      <c r="E64" s="1"/>
      <c r="F64" s="1"/>
    </row>
    <row r="65" spans="3:7">
      <c r="C65" s="57" t="s">
        <v>51</v>
      </c>
      <c r="D65" s="22"/>
      <c r="E65" s="21"/>
      <c r="F65" s="10"/>
    </row>
    <row r="67" spans="3:7">
      <c r="C67" s="2" t="s">
        <v>6</v>
      </c>
    </row>
    <row r="68" spans="3:7">
      <c r="C68" s="75"/>
      <c r="D68" s="75"/>
      <c r="E68" s="75"/>
      <c r="F68" s="75"/>
    </row>
    <row r="69" spans="3:7" ht="15" thickBot="1">
      <c r="C69" s="7"/>
      <c r="D69" s="7"/>
      <c r="E69" s="7"/>
      <c r="F69" s="7"/>
      <c r="G69" s="7"/>
    </row>
    <row r="71" spans="3:7">
      <c r="C71" s="6" t="s">
        <v>53</v>
      </c>
      <c r="D71" s="8" t="s">
        <v>54</v>
      </c>
    </row>
    <row r="72" spans="3:7" ht="40.5" customHeight="1">
      <c r="C72" s="75" t="s">
        <v>55</v>
      </c>
      <c r="D72" s="75"/>
      <c r="E72" s="75"/>
      <c r="F72" s="75"/>
    </row>
    <row r="74" spans="3:7" ht="50.25" customHeight="1">
      <c r="C74" s="78" t="s">
        <v>146</v>
      </c>
      <c r="D74" s="79"/>
      <c r="E74" s="4" t="s">
        <v>20</v>
      </c>
      <c r="F74" s="1"/>
    </row>
    <row r="75" spans="3:7">
      <c r="C75" s="80">
        <v>5</v>
      </c>
      <c r="D75" s="80"/>
      <c r="E75" s="38">
        <f>C75</f>
        <v>5</v>
      </c>
      <c r="F75" s="10"/>
    </row>
    <row r="77" spans="3:7">
      <c r="C77" s="2" t="s">
        <v>6</v>
      </c>
    </row>
    <row r="78" spans="3:7" ht="49.5" customHeight="1">
      <c r="C78" s="75" t="s">
        <v>139</v>
      </c>
      <c r="D78" s="75"/>
      <c r="E78" s="75"/>
      <c r="F78" s="75"/>
    </row>
    <row r="79" spans="3:7" ht="15" thickBot="1">
      <c r="C79" s="7"/>
      <c r="D79" s="7"/>
      <c r="E79" s="7"/>
      <c r="F79" s="7"/>
      <c r="G79" s="7"/>
    </row>
    <row r="81" spans="3:7">
      <c r="C81" s="6" t="s">
        <v>56</v>
      </c>
      <c r="D81" s="8" t="s">
        <v>57</v>
      </c>
    </row>
    <row r="82" spans="3:7" ht="89.25" customHeight="1">
      <c r="C82" s="75" t="s">
        <v>140</v>
      </c>
      <c r="D82" s="75"/>
      <c r="E82" s="75"/>
      <c r="F82" s="75"/>
    </row>
    <row r="84" spans="3:7" ht="29">
      <c r="C84" s="4" t="s">
        <v>59</v>
      </c>
      <c r="D84" s="4" t="s">
        <v>21</v>
      </c>
      <c r="E84" s="1"/>
      <c r="F84" s="1"/>
    </row>
    <row r="85" spans="3:7">
      <c r="C85" s="60">
        <v>2</v>
      </c>
      <c r="D85" s="23">
        <f>C85/3</f>
        <v>0.66666666666666663</v>
      </c>
      <c r="E85" s="21"/>
      <c r="F85" s="10"/>
    </row>
    <row r="87" spans="3:7">
      <c r="C87" s="2" t="s">
        <v>6</v>
      </c>
    </row>
    <row r="88" spans="3:7">
      <c r="C88" s="75" t="s">
        <v>58</v>
      </c>
      <c r="D88" s="75"/>
      <c r="E88" s="75"/>
      <c r="F88" s="75"/>
    </row>
    <row r="89" spans="3:7" ht="15" thickBot="1">
      <c r="C89" s="7"/>
      <c r="D89" s="7"/>
      <c r="E89" s="7"/>
      <c r="F89" s="7"/>
      <c r="G89" s="7"/>
    </row>
    <row r="91" spans="3:7">
      <c r="C91" s="6" t="s">
        <v>60</v>
      </c>
      <c r="D91" s="8" t="s">
        <v>61</v>
      </c>
    </row>
    <row r="92" spans="3:7" ht="39" customHeight="1">
      <c r="C92" s="75" t="s">
        <v>62</v>
      </c>
      <c r="D92" s="75"/>
      <c r="E92" s="75"/>
      <c r="F92" s="75"/>
    </row>
    <row r="94" spans="3:7">
      <c r="C94" s="4" t="s">
        <v>63</v>
      </c>
      <c r="D94" s="4" t="s">
        <v>64</v>
      </c>
      <c r="E94" s="4" t="s">
        <v>22</v>
      </c>
      <c r="F94" s="1"/>
    </row>
    <row r="95" spans="3:7">
      <c r="C95" s="57">
        <v>5</v>
      </c>
      <c r="D95" s="59">
        <v>10</v>
      </c>
      <c r="E95" s="25">
        <f>C95/D95</f>
        <v>0.5</v>
      </c>
      <c r="F95" s="10"/>
    </row>
    <row r="97" spans="3:12">
      <c r="C97" s="2" t="s">
        <v>6</v>
      </c>
    </row>
    <row r="98" spans="3:12">
      <c r="C98" s="75"/>
      <c r="D98" s="75"/>
      <c r="E98" s="75"/>
      <c r="F98" s="75"/>
    </row>
    <row r="99" spans="3:12" ht="15" thickBot="1">
      <c r="C99" s="7"/>
      <c r="D99" s="7"/>
      <c r="E99" s="7"/>
      <c r="F99" s="7"/>
      <c r="G99" s="7"/>
    </row>
    <row r="101" spans="3:12">
      <c r="C101" s="6" t="s">
        <v>65</v>
      </c>
      <c r="D101" s="8" t="s">
        <v>66</v>
      </c>
    </row>
    <row r="102" spans="3:12" ht="30.75" customHeight="1">
      <c r="C102" s="75" t="s">
        <v>67</v>
      </c>
      <c r="D102" s="75"/>
      <c r="E102" s="75"/>
      <c r="F102" s="75"/>
    </row>
    <row r="104" spans="3:12" ht="29">
      <c r="C104" s="4" t="s">
        <v>68</v>
      </c>
      <c r="D104" s="4" t="s">
        <v>69</v>
      </c>
      <c r="E104" s="4" t="s">
        <v>23</v>
      </c>
      <c r="F104" s="1"/>
      <c r="K104" s="61"/>
      <c r="L104" s="61"/>
    </row>
    <row r="105" spans="3:12">
      <c r="C105" s="57">
        <v>5296750.46</v>
      </c>
      <c r="D105" s="57">
        <v>5611961.0599999996</v>
      </c>
      <c r="E105" s="5" t="str">
        <f>IF(C106=D106,"=1",IF(C106&lt;D106,"&lt;1","&gt;1"))</f>
        <v>&lt;1</v>
      </c>
      <c r="F105" s="10"/>
    </row>
    <row r="106" spans="3:12">
      <c r="C106" s="26">
        <f>ROUND(C105,-5)</f>
        <v>5300000</v>
      </c>
      <c r="D106" s="26">
        <f>ROUND(D105,-5)</f>
        <v>5600000</v>
      </c>
    </row>
    <row r="107" spans="3:12">
      <c r="C107" s="2" t="s">
        <v>6</v>
      </c>
    </row>
    <row r="108" spans="3:12">
      <c r="C108" s="75" t="s">
        <v>70</v>
      </c>
      <c r="D108" s="75"/>
      <c r="E108" s="75"/>
      <c r="F108" s="75"/>
    </row>
    <row r="109" spans="3:12" ht="15" thickBot="1">
      <c r="C109" s="7"/>
      <c r="D109" s="7"/>
      <c r="E109" s="7"/>
      <c r="F109" s="7"/>
      <c r="G109" s="7"/>
    </row>
    <row r="111" spans="3:12">
      <c r="C111" s="6" t="s">
        <v>71</v>
      </c>
      <c r="D111" s="8" t="s">
        <v>72</v>
      </c>
    </row>
    <row r="112" spans="3:12" ht="53.25" customHeight="1">
      <c r="C112" s="75" t="s">
        <v>73</v>
      </c>
      <c r="D112" s="75"/>
      <c r="E112" s="75"/>
      <c r="F112" s="75"/>
    </row>
    <row r="114" spans="3:7">
      <c r="C114" s="4" t="s">
        <v>74</v>
      </c>
      <c r="D114" s="4" t="s">
        <v>75</v>
      </c>
      <c r="E114" s="4" t="s">
        <v>24</v>
      </c>
      <c r="F114" s="1"/>
    </row>
    <row r="115" spans="3:7">
      <c r="C115" s="57">
        <v>50</v>
      </c>
      <c r="D115" s="57">
        <v>200</v>
      </c>
      <c r="E115" s="25">
        <f>C115/D115</f>
        <v>0.25</v>
      </c>
      <c r="F115" s="10"/>
    </row>
    <row r="116" spans="3:7">
      <c r="C116" s="26"/>
      <c r="D116" s="26"/>
    </row>
    <row r="117" spans="3:7">
      <c r="C117" s="2" t="s">
        <v>6</v>
      </c>
    </row>
    <row r="118" spans="3:7">
      <c r="C118" s="75"/>
      <c r="D118" s="75"/>
      <c r="E118" s="75"/>
      <c r="F118" s="75"/>
    </row>
    <row r="119" spans="3:7" ht="15" thickBot="1">
      <c r="C119" s="7"/>
      <c r="D119" s="7"/>
      <c r="E119" s="7"/>
      <c r="F119" s="7"/>
      <c r="G119" s="7"/>
    </row>
  </sheetData>
  <sheetProtection password="C97A" sheet="1" objects="1" scenarios="1"/>
  <mergeCells count="27">
    <mergeCell ref="C74:D74"/>
    <mergeCell ref="C75:D75"/>
    <mergeCell ref="A33:A35"/>
    <mergeCell ref="C42:F42"/>
    <mergeCell ref="C48:F48"/>
    <mergeCell ref="C72:F72"/>
    <mergeCell ref="C52:F52"/>
    <mergeCell ref="C58:F58"/>
    <mergeCell ref="C62:F62"/>
    <mergeCell ref="C68:F68"/>
    <mergeCell ref="C38:F38"/>
    <mergeCell ref="C118:F118"/>
    <mergeCell ref="A1:G1"/>
    <mergeCell ref="C92:F92"/>
    <mergeCell ref="C98:F98"/>
    <mergeCell ref="C102:F102"/>
    <mergeCell ref="C108:F108"/>
    <mergeCell ref="C112:F112"/>
    <mergeCell ref="C4:F4"/>
    <mergeCell ref="C10:F10"/>
    <mergeCell ref="C14:F14"/>
    <mergeCell ref="C20:F20"/>
    <mergeCell ref="C25:F25"/>
    <mergeCell ref="C78:F78"/>
    <mergeCell ref="C82:F82"/>
    <mergeCell ref="C88:F88"/>
    <mergeCell ref="A28:A32"/>
  </mergeCells>
  <pageMargins left="0.74803149606299213" right="0.31496062992125984" top="0.67" bottom="0.39370078740157483" header="0.31496062992125984" footer="0.19685039370078741"/>
  <pageSetup paperSize="9" orientation="landscape" r:id="rId1"/>
  <headerFooter>
    <oddHeader>&amp;LUNI/PdR 5:2013 &amp;RIndicatori dei processi di governo</oddHeader>
  </headerFooter>
  <rowBreaks count="5" manualBreakCount="5">
    <brk id="22" max="16383" man="1"/>
    <brk id="50" max="16383" man="1"/>
    <brk id="70" max="16383" man="1"/>
    <brk id="79" max="16383" man="1"/>
    <brk id="100"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  '!$B$3:$B$4</xm:f>
          </x14:formula1>
          <xm:sqref>C65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H256"/>
  <sheetViews>
    <sheetView tabSelected="1" topLeftCell="A235" workbookViewId="0">
      <selection activeCell="F246" sqref="F246"/>
    </sheetView>
  </sheetViews>
  <sheetFormatPr defaultRowHeight="14.5"/>
  <cols>
    <col min="1" max="1" width="5.7265625" customWidth="1"/>
    <col min="2" max="2" width="4.453125" customWidth="1"/>
    <col min="3" max="6" width="24.7265625" customWidth="1"/>
    <col min="7" max="7" width="11.26953125" customWidth="1"/>
  </cols>
  <sheetData>
    <row r="1" spans="1:7" ht="18.5">
      <c r="A1" s="76" t="s">
        <v>77</v>
      </c>
      <c r="B1" s="76"/>
      <c r="C1" s="76"/>
      <c r="D1" s="76"/>
      <c r="E1" s="76"/>
      <c r="F1" s="76"/>
      <c r="G1" s="76"/>
    </row>
    <row r="2" spans="1:7">
      <c r="A2" s="2"/>
      <c r="B2" s="2"/>
      <c r="C2" s="2"/>
      <c r="D2" s="2"/>
      <c r="E2" s="2"/>
      <c r="F2" s="2"/>
      <c r="G2" s="2"/>
    </row>
    <row r="3" spans="1:7" ht="20.25" customHeight="1">
      <c r="C3" s="32" t="s">
        <v>86</v>
      </c>
      <c r="D3" s="33" t="s">
        <v>121</v>
      </c>
      <c r="E3" s="2"/>
      <c r="F3" s="2"/>
      <c r="G3" s="2"/>
    </row>
    <row r="4" spans="1:7" ht="76.5" customHeight="1">
      <c r="C4" s="75" t="s">
        <v>120</v>
      </c>
      <c r="D4" s="75"/>
      <c r="E4" s="75"/>
      <c r="F4" s="75"/>
      <c r="G4" s="75"/>
    </row>
    <row r="5" spans="1:7" ht="12" customHeight="1">
      <c r="C5" s="2"/>
      <c r="D5" s="2"/>
      <c r="E5" s="2"/>
      <c r="F5" s="2"/>
      <c r="G5" s="2"/>
    </row>
    <row r="6" spans="1:7" ht="33" customHeight="1">
      <c r="C6" s="28" t="s">
        <v>78</v>
      </c>
      <c r="D6" s="4" t="s">
        <v>79</v>
      </c>
      <c r="E6" s="4" t="s">
        <v>80</v>
      </c>
      <c r="F6" s="4" t="s">
        <v>112</v>
      </c>
      <c r="G6" s="4" t="s">
        <v>87</v>
      </c>
    </row>
    <row r="7" spans="1:7" ht="16" customHeight="1">
      <c r="A7" s="86" t="s">
        <v>84</v>
      </c>
      <c r="B7" s="87"/>
      <c r="C7" s="62">
        <v>24</v>
      </c>
      <c r="D7" s="62">
        <v>2</v>
      </c>
      <c r="E7" s="62">
        <v>10</v>
      </c>
      <c r="F7" s="29">
        <f>(C7+D7)/E7</f>
        <v>2.6</v>
      </c>
      <c r="G7" s="88">
        <f>(F7+F8+F9+F10)/4</f>
        <v>11.5</v>
      </c>
    </row>
    <row r="8" spans="1:7" ht="16" customHeight="1">
      <c r="A8" s="86" t="s">
        <v>83</v>
      </c>
      <c r="B8" s="87"/>
      <c r="C8" s="62">
        <v>200</v>
      </c>
      <c r="D8" s="62">
        <v>30</v>
      </c>
      <c r="E8" s="62">
        <v>10</v>
      </c>
      <c r="F8" s="29">
        <f>(C8+D8)/E8</f>
        <v>23</v>
      </c>
      <c r="G8" s="88"/>
    </row>
    <row r="9" spans="1:7" ht="16" customHeight="1">
      <c r="A9" s="84" t="s">
        <v>82</v>
      </c>
      <c r="B9" s="85"/>
      <c r="C9" s="62">
        <v>140</v>
      </c>
      <c r="D9" s="62">
        <v>15</v>
      </c>
      <c r="E9" s="62">
        <v>10</v>
      </c>
      <c r="F9" s="29">
        <f>(C9+D9)/E9</f>
        <v>15.5</v>
      </c>
      <c r="G9" s="88"/>
    </row>
    <row r="10" spans="1:7" ht="16" customHeight="1">
      <c r="A10" s="84" t="s">
        <v>81</v>
      </c>
      <c r="B10" s="85"/>
      <c r="C10" s="60">
        <v>19</v>
      </c>
      <c r="D10" s="59">
        <v>30</v>
      </c>
      <c r="E10" s="60">
        <v>10</v>
      </c>
      <c r="F10" s="29">
        <f>(C10+D10)/E10</f>
        <v>4.9000000000000004</v>
      </c>
      <c r="G10" s="88"/>
    </row>
    <row r="11" spans="1:7" ht="10.5" customHeight="1">
      <c r="C11" s="3"/>
      <c r="D11" s="2"/>
      <c r="E11" s="2"/>
      <c r="F11" s="2"/>
      <c r="G11" s="2"/>
    </row>
    <row r="12" spans="1:7" ht="16.5" customHeight="1">
      <c r="C12" s="2" t="s">
        <v>6</v>
      </c>
      <c r="D12" s="2"/>
      <c r="E12" s="2"/>
      <c r="F12" s="2"/>
      <c r="G12" s="2"/>
    </row>
    <row r="13" spans="1:7" ht="34.5" customHeight="1">
      <c r="C13" s="75" t="s">
        <v>85</v>
      </c>
      <c r="D13" s="75"/>
      <c r="E13" s="75"/>
      <c r="F13" s="75"/>
    </row>
    <row r="14" spans="1:7" ht="9.75" customHeight="1" thickBot="1">
      <c r="C14" s="7"/>
      <c r="D14" s="7"/>
      <c r="E14" s="7"/>
      <c r="F14" s="7"/>
      <c r="G14" s="7"/>
    </row>
    <row r="16" spans="1:7" s="34" customFormat="1" ht="18.75" customHeight="1">
      <c r="C16" s="32" t="s">
        <v>118</v>
      </c>
      <c r="D16" s="33" t="s">
        <v>119</v>
      </c>
      <c r="E16" s="3"/>
      <c r="F16" s="3"/>
      <c r="G16" s="3"/>
    </row>
    <row r="17" spans="1:7" ht="21.75" customHeight="1">
      <c r="C17" s="75" t="s">
        <v>402</v>
      </c>
      <c r="D17" s="75"/>
      <c r="E17" s="75"/>
      <c r="F17" s="75"/>
      <c r="G17" s="75"/>
    </row>
    <row r="18" spans="1:7">
      <c r="C18" s="2"/>
      <c r="D18" s="2"/>
      <c r="E18" s="2"/>
      <c r="F18" s="2"/>
      <c r="G18" s="2"/>
    </row>
    <row r="19" spans="1:7" ht="29">
      <c r="C19" s="4" t="s">
        <v>117</v>
      </c>
      <c r="D19" s="4" t="s">
        <v>79</v>
      </c>
      <c r="E19" s="4" t="s">
        <v>80</v>
      </c>
      <c r="F19" s="4" t="s">
        <v>112</v>
      </c>
      <c r="G19" s="4" t="s">
        <v>88</v>
      </c>
    </row>
    <row r="20" spans="1:7">
      <c r="A20" s="86" t="s">
        <v>113</v>
      </c>
      <c r="B20" s="87"/>
      <c r="C20" s="62">
        <v>2</v>
      </c>
      <c r="D20" s="62">
        <v>2</v>
      </c>
      <c r="E20" s="62">
        <v>10</v>
      </c>
      <c r="F20" s="29">
        <f>(C20+D20)/E20</f>
        <v>0.4</v>
      </c>
      <c r="G20" s="89">
        <f>(F20+F21+F22)/3</f>
        <v>3.6666666666666665</v>
      </c>
    </row>
    <row r="21" spans="1:7">
      <c r="A21" s="86" t="s">
        <v>114</v>
      </c>
      <c r="B21" s="87"/>
      <c r="C21" s="62">
        <v>28</v>
      </c>
      <c r="D21" s="62">
        <v>30</v>
      </c>
      <c r="E21" s="62">
        <v>10</v>
      </c>
      <c r="F21" s="29">
        <f>(C21+D21)/E21</f>
        <v>5.8</v>
      </c>
      <c r="G21" s="89"/>
    </row>
    <row r="22" spans="1:7">
      <c r="A22" s="84" t="s">
        <v>115</v>
      </c>
      <c r="B22" s="85"/>
      <c r="C22" s="62">
        <v>18</v>
      </c>
      <c r="D22" s="62">
        <v>30</v>
      </c>
      <c r="E22" s="62">
        <v>10</v>
      </c>
      <c r="F22" s="29">
        <f>(C22+D22)/E22</f>
        <v>4.8</v>
      </c>
      <c r="G22" s="89"/>
    </row>
    <row r="23" spans="1:7">
      <c r="C23" s="3"/>
      <c r="D23" s="2"/>
      <c r="E23" s="2"/>
      <c r="F23" s="2"/>
      <c r="G23" s="2"/>
    </row>
    <row r="24" spans="1:7">
      <c r="C24" s="2" t="s">
        <v>6</v>
      </c>
      <c r="D24" s="2"/>
      <c r="E24" s="2"/>
      <c r="F24" s="2"/>
      <c r="G24" s="2"/>
    </row>
    <row r="25" spans="1:7" ht="35.25" customHeight="1">
      <c r="C25" s="75" t="s">
        <v>116</v>
      </c>
      <c r="D25" s="75"/>
      <c r="E25" s="75"/>
      <c r="F25" s="75"/>
      <c r="G25" s="75"/>
    </row>
    <row r="26" spans="1:7" ht="15" thickBot="1">
      <c r="C26" s="7"/>
      <c r="D26" s="7"/>
      <c r="E26" s="7"/>
      <c r="F26" s="7"/>
      <c r="G26" s="7"/>
    </row>
    <row r="28" spans="1:7" ht="21" customHeight="1">
      <c r="A28" s="34"/>
      <c r="B28" s="34"/>
      <c r="C28" s="32" t="s">
        <v>122</v>
      </c>
      <c r="D28" s="33" t="s">
        <v>127</v>
      </c>
      <c r="E28" s="3"/>
      <c r="F28" s="3"/>
      <c r="G28" s="3"/>
    </row>
    <row r="29" spans="1:7" ht="40.5" customHeight="1">
      <c r="C29" s="75" t="s">
        <v>123</v>
      </c>
      <c r="D29" s="75"/>
      <c r="E29" s="75"/>
      <c r="F29" s="75"/>
      <c r="G29" s="2"/>
    </row>
    <row r="30" spans="1:7">
      <c r="C30" s="2"/>
      <c r="D30" s="2"/>
      <c r="E30" s="2"/>
      <c r="F30" s="2"/>
      <c r="G30" s="2"/>
    </row>
    <row r="31" spans="1:7" ht="43.5">
      <c r="C31" s="4" t="s">
        <v>124</v>
      </c>
      <c r="D31" s="4" t="s">
        <v>125</v>
      </c>
      <c r="E31" s="4" t="s">
        <v>89</v>
      </c>
      <c r="F31" s="1"/>
      <c r="G31" s="1"/>
    </row>
    <row r="32" spans="1:7">
      <c r="A32" s="3"/>
      <c r="B32" s="37"/>
      <c r="C32" s="62">
        <f>(5+5+10)</f>
        <v>20</v>
      </c>
      <c r="D32" s="62">
        <v>3</v>
      </c>
      <c r="E32" s="25">
        <f>(C32/36)/D32</f>
        <v>0.1851851851851852</v>
      </c>
      <c r="F32" s="35"/>
      <c r="G32" s="36"/>
    </row>
    <row r="33" spans="3:7">
      <c r="C33" s="3"/>
      <c r="D33" s="2"/>
      <c r="E33" s="2"/>
      <c r="F33" s="2"/>
      <c r="G33" s="2"/>
    </row>
    <row r="34" spans="3:7">
      <c r="C34" s="2" t="s">
        <v>6</v>
      </c>
      <c r="D34" s="2"/>
      <c r="E34" s="2"/>
      <c r="F34" s="2"/>
      <c r="G34" s="2"/>
    </row>
    <row r="35" spans="3:7" ht="22.5" customHeight="1">
      <c r="C35" s="75" t="s">
        <v>126</v>
      </c>
      <c r="D35" s="75"/>
      <c r="E35" s="75"/>
      <c r="F35" s="75"/>
    </row>
    <row r="36" spans="3:7" ht="15" thickBot="1">
      <c r="C36" s="7"/>
      <c r="D36" s="7"/>
      <c r="E36" s="7"/>
      <c r="F36" s="7"/>
      <c r="G36" s="7"/>
    </row>
    <row r="38" spans="3:7" ht="18" customHeight="1">
      <c r="C38" s="32" t="s">
        <v>128</v>
      </c>
      <c r="D38" s="33" t="s">
        <v>129</v>
      </c>
      <c r="E38" s="3"/>
      <c r="F38" s="3"/>
      <c r="G38" s="3"/>
    </row>
    <row r="39" spans="3:7" ht="28.5" customHeight="1">
      <c r="C39" s="75" t="s">
        <v>130</v>
      </c>
      <c r="D39" s="75"/>
      <c r="E39" s="75"/>
      <c r="F39" s="75"/>
      <c r="G39" s="2"/>
    </row>
    <row r="40" spans="3:7">
      <c r="C40" s="2"/>
      <c r="D40" s="2"/>
      <c r="E40" s="2"/>
      <c r="F40" s="2"/>
      <c r="G40" s="2"/>
    </row>
    <row r="41" spans="3:7">
      <c r="C41" s="4" t="s">
        <v>131</v>
      </c>
      <c r="D41" s="4" t="s">
        <v>132</v>
      </c>
      <c r="E41" s="4" t="s">
        <v>90</v>
      </c>
      <c r="F41" s="1"/>
      <c r="G41" s="1"/>
    </row>
    <row r="42" spans="3:7">
      <c r="C42" s="62">
        <v>4</v>
      </c>
      <c r="D42" s="62">
        <v>5</v>
      </c>
      <c r="E42" s="25">
        <f>C42/D42</f>
        <v>0.8</v>
      </c>
      <c r="F42" s="35"/>
      <c r="G42" s="36"/>
    </row>
    <row r="43" spans="3:7">
      <c r="C43" s="3"/>
      <c r="D43" s="2"/>
      <c r="E43" s="2"/>
      <c r="F43" s="2"/>
      <c r="G43" s="2"/>
    </row>
    <row r="44" spans="3:7">
      <c r="C44" s="2" t="s">
        <v>6</v>
      </c>
      <c r="D44" s="2"/>
      <c r="E44" s="2"/>
      <c r="F44" s="2"/>
      <c r="G44" s="2"/>
    </row>
    <row r="45" spans="3:7" ht="21.75" customHeight="1">
      <c r="C45" s="75" t="s">
        <v>133</v>
      </c>
      <c r="D45" s="75"/>
      <c r="E45" s="75"/>
      <c r="F45" s="75"/>
    </row>
    <row r="46" spans="3:7" ht="15" thickBot="1">
      <c r="C46" s="7"/>
      <c r="D46" s="7"/>
      <c r="E46" s="7"/>
      <c r="F46" s="7"/>
      <c r="G46" s="7"/>
    </row>
    <row r="48" spans="3:7">
      <c r="C48" s="32" t="s">
        <v>134</v>
      </c>
      <c r="D48" s="33" t="s">
        <v>135</v>
      </c>
      <c r="E48" s="3"/>
      <c r="F48" s="3"/>
      <c r="G48" s="3"/>
    </row>
    <row r="49" spans="3:7" ht="32.25" customHeight="1">
      <c r="C49" s="75" t="s">
        <v>136</v>
      </c>
      <c r="D49" s="75"/>
      <c r="E49" s="75"/>
      <c r="F49" s="75"/>
      <c r="G49" s="75"/>
    </row>
    <row r="50" spans="3:7">
      <c r="C50" s="2"/>
      <c r="D50" s="2"/>
      <c r="E50" s="2"/>
      <c r="F50" s="2"/>
      <c r="G50" s="2"/>
    </row>
    <row r="51" spans="3:7" ht="29">
      <c r="C51" s="4" t="s">
        <v>137</v>
      </c>
      <c r="D51" s="4" t="s">
        <v>125</v>
      </c>
      <c r="E51" s="4" t="s">
        <v>91</v>
      </c>
      <c r="F51" s="1"/>
      <c r="G51" s="1"/>
    </row>
    <row r="52" spans="3:7">
      <c r="C52" s="62">
        <f>(5+10+30+5+20+2+8+15+5)</f>
        <v>100</v>
      </c>
      <c r="D52" s="4">
        <f>D32</f>
        <v>3</v>
      </c>
      <c r="E52" s="29">
        <f>C52/D52</f>
        <v>33.333333333333336</v>
      </c>
      <c r="F52" s="35"/>
      <c r="G52" s="36"/>
    </row>
    <row r="53" spans="3:7">
      <c r="C53" s="3"/>
      <c r="D53" s="2"/>
      <c r="E53" s="2"/>
      <c r="F53" s="2"/>
      <c r="G53" s="2"/>
    </row>
    <row r="54" spans="3:7">
      <c r="C54" s="2" t="s">
        <v>6</v>
      </c>
      <c r="D54" s="2"/>
      <c r="E54" s="2"/>
      <c r="F54" s="2"/>
      <c r="G54" s="2"/>
    </row>
    <row r="55" spans="3:7" ht="29.25" customHeight="1">
      <c r="C55" s="75" t="s">
        <v>138</v>
      </c>
      <c r="D55" s="75"/>
      <c r="E55" s="75"/>
      <c r="F55" s="75"/>
    </row>
    <row r="56" spans="3:7" ht="15" thickBot="1">
      <c r="C56" s="7"/>
      <c r="D56" s="7"/>
      <c r="E56" s="7"/>
      <c r="F56" s="7"/>
      <c r="G56" s="7"/>
    </row>
    <row r="58" spans="3:7">
      <c r="C58" s="32" t="s">
        <v>141</v>
      </c>
      <c r="D58" s="33" t="s">
        <v>142</v>
      </c>
      <c r="E58" s="3"/>
      <c r="F58" s="3"/>
      <c r="G58" s="3"/>
    </row>
    <row r="59" spans="3:7">
      <c r="C59" s="75" t="s">
        <v>143</v>
      </c>
      <c r="D59" s="75"/>
      <c r="E59" s="75"/>
      <c r="F59" s="75"/>
      <c r="G59" s="75"/>
    </row>
    <row r="60" spans="3:7">
      <c r="C60" s="2"/>
      <c r="D60" s="2"/>
      <c r="E60" s="2"/>
      <c r="F60" s="2"/>
      <c r="G60" s="2"/>
    </row>
    <row r="61" spans="3:7" ht="48" customHeight="1">
      <c r="C61" s="78" t="s">
        <v>145</v>
      </c>
      <c r="D61" s="79"/>
      <c r="E61" s="4" t="s">
        <v>92</v>
      </c>
      <c r="F61" s="1"/>
      <c r="G61" s="1"/>
    </row>
    <row r="62" spans="3:7">
      <c r="C62" s="81">
        <v>4</v>
      </c>
      <c r="D62" s="82"/>
      <c r="E62" s="29">
        <f>C62</f>
        <v>4</v>
      </c>
      <c r="F62" s="35"/>
      <c r="G62" s="36"/>
    </row>
    <row r="63" spans="3:7">
      <c r="C63" s="3"/>
      <c r="D63" s="2"/>
      <c r="E63" s="2"/>
      <c r="F63" s="2"/>
      <c r="G63" s="2"/>
    </row>
    <row r="64" spans="3:7">
      <c r="C64" s="2" t="s">
        <v>6</v>
      </c>
      <c r="D64" s="2"/>
      <c r="E64" s="2"/>
      <c r="F64" s="2"/>
      <c r="G64" s="2"/>
    </row>
    <row r="65" spans="3:7">
      <c r="C65" s="75" t="s">
        <v>144</v>
      </c>
      <c r="D65" s="75"/>
      <c r="E65" s="75"/>
      <c r="F65" s="75"/>
    </row>
    <row r="66" spans="3:7" ht="15" thickBot="1">
      <c r="C66" s="7"/>
      <c r="D66" s="7"/>
      <c r="E66" s="7"/>
      <c r="F66" s="7"/>
      <c r="G66" s="7"/>
    </row>
    <row r="68" spans="3:7">
      <c r="C68" s="32" t="s">
        <v>147</v>
      </c>
      <c r="D68" s="33" t="s">
        <v>148</v>
      </c>
      <c r="E68" s="3"/>
      <c r="F68" s="3"/>
      <c r="G68" s="3"/>
    </row>
    <row r="69" spans="3:7">
      <c r="C69" s="75" t="s">
        <v>149</v>
      </c>
      <c r="D69" s="75"/>
      <c r="E69" s="75"/>
      <c r="F69" s="75"/>
      <c r="G69" s="75"/>
    </row>
    <row r="70" spans="3:7">
      <c r="C70" s="2"/>
      <c r="D70" s="2"/>
      <c r="E70" s="2"/>
      <c r="F70" s="2"/>
      <c r="G70" s="2"/>
    </row>
    <row r="71" spans="3:7" ht="29">
      <c r="C71" s="78" t="s">
        <v>153</v>
      </c>
      <c r="D71" s="79"/>
      <c r="E71" s="4" t="s">
        <v>150</v>
      </c>
      <c r="F71" s="4" t="s">
        <v>93</v>
      </c>
    </row>
    <row r="72" spans="3:7" ht="19.5" customHeight="1">
      <c r="C72" s="81">
        <v>2.7</v>
      </c>
      <c r="D72" s="82"/>
      <c r="E72" s="62">
        <v>3</v>
      </c>
      <c r="F72" s="31">
        <f>C72/E72</f>
        <v>0.9</v>
      </c>
    </row>
    <row r="73" spans="3:7">
      <c r="C73" s="3"/>
      <c r="D73" s="2"/>
      <c r="E73" s="2"/>
      <c r="F73" s="2"/>
      <c r="G73" s="2"/>
    </row>
    <row r="74" spans="3:7">
      <c r="C74" s="2" t="s">
        <v>6</v>
      </c>
      <c r="D74" s="2"/>
      <c r="E74" s="2"/>
      <c r="F74" s="2"/>
      <c r="G74" s="2"/>
    </row>
    <row r="75" spans="3:7">
      <c r="C75" s="75" t="s">
        <v>151</v>
      </c>
      <c r="D75" s="75"/>
      <c r="E75" s="75"/>
      <c r="F75" s="75"/>
      <c r="G75" s="75"/>
    </row>
    <row r="76" spans="3:7" ht="15" thickBot="1">
      <c r="C76" s="7"/>
      <c r="D76" s="7"/>
      <c r="E76" s="7"/>
      <c r="F76" s="7"/>
      <c r="G76" s="7"/>
    </row>
    <row r="78" spans="3:7">
      <c r="C78" s="32" t="s">
        <v>152</v>
      </c>
      <c r="D78" s="33" t="s">
        <v>155</v>
      </c>
      <c r="E78" s="3"/>
      <c r="F78" s="3"/>
      <c r="G78" s="3"/>
    </row>
    <row r="79" spans="3:7" ht="38.25" customHeight="1">
      <c r="C79" s="75" t="s">
        <v>156</v>
      </c>
      <c r="D79" s="75"/>
      <c r="E79" s="75"/>
      <c r="F79" s="75"/>
      <c r="G79" s="75"/>
    </row>
    <row r="80" spans="3:7">
      <c r="C80" s="2"/>
      <c r="D80" s="2"/>
      <c r="E80" s="2"/>
      <c r="F80" s="2"/>
      <c r="G80" s="2"/>
    </row>
    <row r="81" spans="3:8" ht="51.75" customHeight="1">
      <c r="C81" s="78" t="s">
        <v>157</v>
      </c>
      <c r="D81" s="79"/>
      <c r="E81" s="4" t="s">
        <v>159</v>
      </c>
      <c r="F81" s="4" t="s">
        <v>94</v>
      </c>
    </row>
    <row r="82" spans="3:8">
      <c r="C82" s="81">
        <f>2+4+3</f>
        <v>9</v>
      </c>
      <c r="D82" s="82"/>
      <c r="E82" s="62">
        <v>3</v>
      </c>
      <c r="F82" s="31">
        <f>C82/E82</f>
        <v>3</v>
      </c>
    </row>
    <row r="83" spans="3:8">
      <c r="C83" s="3"/>
      <c r="D83" s="2"/>
      <c r="E83" s="2"/>
      <c r="F83" s="2"/>
      <c r="G83" s="2"/>
    </row>
    <row r="84" spans="3:8">
      <c r="C84" s="2" t="s">
        <v>6</v>
      </c>
      <c r="D84" s="2"/>
      <c r="E84" s="2"/>
      <c r="F84" s="2"/>
      <c r="G84" s="2"/>
    </row>
    <row r="85" spans="3:8">
      <c r="C85" s="75" t="s">
        <v>158</v>
      </c>
      <c r="D85" s="75"/>
      <c r="E85" s="75"/>
      <c r="F85" s="75"/>
      <c r="G85" s="75"/>
    </row>
    <row r="86" spans="3:8" ht="15" thickBot="1">
      <c r="C86" s="7"/>
      <c r="D86" s="7"/>
      <c r="E86" s="7"/>
      <c r="F86" s="7"/>
      <c r="G86" s="7"/>
    </row>
    <row r="88" spans="3:8" ht="15" customHeight="1">
      <c r="C88" s="32" t="s">
        <v>154</v>
      </c>
      <c r="D88" s="83" t="s">
        <v>160</v>
      </c>
      <c r="E88" s="83"/>
      <c r="F88" s="83"/>
      <c r="G88" s="32"/>
      <c r="H88" s="32"/>
    </row>
    <row r="89" spans="3:8">
      <c r="C89" t="s">
        <v>149</v>
      </c>
    </row>
    <row r="90" spans="3:8">
      <c r="C90" s="2"/>
      <c r="D90" s="2"/>
      <c r="E90" s="2"/>
      <c r="F90" s="2"/>
      <c r="G90" s="2"/>
    </row>
    <row r="91" spans="3:8" ht="43.5">
      <c r="C91" s="4" t="s">
        <v>161</v>
      </c>
      <c r="D91" s="4" t="s">
        <v>162</v>
      </c>
      <c r="E91" s="4" t="s">
        <v>95</v>
      </c>
      <c r="F91" s="1"/>
      <c r="G91" s="1"/>
    </row>
    <row r="92" spans="3:8">
      <c r="C92" s="62">
        <v>9</v>
      </c>
      <c r="D92" s="62">
        <v>10</v>
      </c>
      <c r="E92" s="25">
        <f>C92/D92</f>
        <v>0.9</v>
      </c>
      <c r="F92" s="35"/>
      <c r="G92" s="36"/>
    </row>
    <row r="93" spans="3:8">
      <c r="C93" s="3"/>
      <c r="D93" s="2"/>
      <c r="E93" s="2"/>
      <c r="F93" s="2"/>
      <c r="G93" s="2"/>
    </row>
    <row r="94" spans="3:8">
      <c r="C94" s="2" t="s">
        <v>6</v>
      </c>
      <c r="D94" s="2"/>
      <c r="E94" s="2"/>
      <c r="F94" s="2"/>
      <c r="G94" s="2"/>
    </row>
    <row r="95" spans="3:8">
      <c r="C95" s="75" t="s">
        <v>163</v>
      </c>
      <c r="D95" s="75"/>
      <c r="E95" s="75"/>
      <c r="F95" s="75"/>
    </row>
    <row r="96" spans="3:8" ht="15" thickBot="1">
      <c r="C96" s="7"/>
      <c r="D96" s="7"/>
      <c r="E96" s="7"/>
      <c r="F96" s="7"/>
      <c r="G96" s="7"/>
    </row>
    <row r="98" spans="3:7">
      <c r="C98" s="32" t="s">
        <v>164</v>
      </c>
      <c r="D98" s="83" t="s">
        <v>165</v>
      </c>
      <c r="E98" s="83"/>
      <c r="F98" s="83"/>
      <c r="G98" s="32"/>
    </row>
    <row r="99" spans="3:7" ht="48" customHeight="1">
      <c r="C99" s="75" t="s">
        <v>166</v>
      </c>
      <c r="D99" s="75"/>
      <c r="E99" s="75"/>
      <c r="F99" s="75"/>
    </row>
    <row r="100" spans="3:7">
      <c r="C100" s="2"/>
      <c r="D100" s="2"/>
      <c r="E100" s="2"/>
      <c r="F100" s="2"/>
      <c r="G100" s="2"/>
    </row>
    <row r="101" spans="3:7">
      <c r="C101" s="4" t="s">
        <v>167</v>
      </c>
      <c r="D101" s="4" t="s">
        <v>168</v>
      </c>
      <c r="E101" s="4" t="s">
        <v>96</v>
      </c>
      <c r="F101" s="1"/>
      <c r="G101" s="1"/>
    </row>
    <row r="102" spans="3:7">
      <c r="C102" s="62">
        <v>30</v>
      </c>
      <c r="D102" s="62">
        <v>32</v>
      </c>
      <c r="E102" s="25">
        <f>C102/D102</f>
        <v>0.9375</v>
      </c>
      <c r="F102" s="35"/>
      <c r="G102" s="36"/>
    </row>
    <row r="103" spans="3:7">
      <c r="C103" s="3"/>
      <c r="D103" s="2"/>
      <c r="E103" s="2"/>
      <c r="F103" s="2"/>
      <c r="G103" s="2"/>
    </row>
    <row r="104" spans="3:7">
      <c r="C104" s="2" t="s">
        <v>6</v>
      </c>
      <c r="D104" s="2"/>
      <c r="E104" s="2"/>
      <c r="F104" s="2"/>
      <c r="G104" s="2"/>
    </row>
    <row r="105" spans="3:7">
      <c r="C105" s="75" t="s">
        <v>163</v>
      </c>
      <c r="D105" s="75"/>
      <c r="E105" s="75"/>
      <c r="F105" s="75"/>
    </row>
    <row r="106" spans="3:7" ht="15" thickBot="1">
      <c r="C106" s="7"/>
      <c r="D106" s="7"/>
      <c r="E106" s="7"/>
      <c r="F106" s="7"/>
      <c r="G106" s="7"/>
    </row>
    <row r="108" spans="3:7">
      <c r="C108" s="32" t="s">
        <v>169</v>
      </c>
      <c r="D108" s="83" t="s">
        <v>170</v>
      </c>
      <c r="E108" s="83"/>
      <c r="F108" s="83"/>
      <c r="G108" s="32"/>
    </row>
    <row r="109" spans="3:7" ht="44.25" customHeight="1">
      <c r="C109" s="75" t="s">
        <v>171</v>
      </c>
      <c r="D109" s="75"/>
      <c r="E109" s="75"/>
      <c r="F109" s="75"/>
    </row>
    <row r="110" spans="3:7">
      <c r="C110" s="2"/>
      <c r="D110" s="2"/>
      <c r="E110" s="2"/>
      <c r="F110" s="2"/>
      <c r="G110" s="2"/>
    </row>
    <row r="111" spans="3:7">
      <c r="C111" s="4" t="s">
        <v>167</v>
      </c>
      <c r="D111" s="4" t="s">
        <v>168</v>
      </c>
      <c r="E111" s="4" t="s">
        <v>97</v>
      </c>
      <c r="F111" s="1"/>
      <c r="G111" s="1"/>
    </row>
    <row r="112" spans="3:7">
      <c r="C112" s="62">
        <v>87</v>
      </c>
      <c r="D112" s="62">
        <v>87</v>
      </c>
      <c r="E112" s="25">
        <f>C112/D112</f>
        <v>1</v>
      </c>
      <c r="F112" s="35"/>
      <c r="G112" s="36"/>
    </row>
    <row r="113" spans="3:7">
      <c r="C113" s="3"/>
      <c r="D113" s="2"/>
      <c r="E113" s="2"/>
      <c r="F113" s="2"/>
      <c r="G113" s="2"/>
    </row>
    <row r="114" spans="3:7">
      <c r="C114" s="2" t="s">
        <v>6</v>
      </c>
      <c r="D114" s="2"/>
      <c r="E114" s="2"/>
      <c r="F114" s="2"/>
      <c r="G114" s="2"/>
    </row>
    <row r="115" spans="3:7">
      <c r="C115" s="75" t="s">
        <v>163</v>
      </c>
      <c r="D115" s="75"/>
      <c r="E115" s="75"/>
      <c r="F115" s="75"/>
    </row>
    <row r="116" spans="3:7" ht="15" thickBot="1">
      <c r="C116" s="7"/>
      <c r="D116" s="7"/>
      <c r="E116" s="7"/>
      <c r="F116" s="7"/>
      <c r="G116" s="7"/>
    </row>
    <row r="118" spans="3:7">
      <c r="C118" s="32" t="s">
        <v>172</v>
      </c>
      <c r="D118" s="33" t="s">
        <v>173</v>
      </c>
      <c r="E118" s="3"/>
      <c r="F118" s="3"/>
      <c r="G118" s="3"/>
    </row>
    <row r="119" spans="3:7" ht="31.5" customHeight="1">
      <c r="C119" s="75" t="s">
        <v>174</v>
      </c>
      <c r="D119" s="75"/>
      <c r="E119" s="75"/>
      <c r="F119" s="75"/>
      <c r="G119" s="75"/>
    </row>
    <row r="120" spans="3:7">
      <c r="C120" s="2"/>
      <c r="D120" s="2"/>
      <c r="E120" s="2"/>
      <c r="F120" s="2"/>
      <c r="G120" s="2"/>
    </row>
    <row r="121" spans="3:7">
      <c r="C121" s="78" t="s">
        <v>145</v>
      </c>
      <c r="D121" s="79"/>
      <c r="E121" s="4" t="s">
        <v>98</v>
      </c>
      <c r="F121" s="1"/>
      <c r="G121" s="1"/>
    </row>
    <row r="122" spans="3:7">
      <c r="C122" s="81">
        <v>3</v>
      </c>
      <c r="D122" s="82"/>
      <c r="E122" s="29">
        <f>C122</f>
        <v>3</v>
      </c>
      <c r="F122" s="35"/>
      <c r="G122" s="36"/>
    </row>
    <row r="123" spans="3:7">
      <c r="C123" s="3"/>
      <c r="D123" s="2"/>
      <c r="E123" s="2"/>
      <c r="F123" s="2"/>
      <c r="G123" s="2"/>
    </row>
    <row r="124" spans="3:7">
      <c r="C124" s="2" t="s">
        <v>6</v>
      </c>
      <c r="D124" s="2"/>
      <c r="E124" s="2"/>
      <c r="F124" s="2"/>
      <c r="G124" s="2"/>
    </row>
    <row r="125" spans="3:7" ht="61.5" customHeight="1">
      <c r="C125" s="75" t="s">
        <v>175</v>
      </c>
      <c r="D125" s="75"/>
      <c r="E125" s="75"/>
      <c r="F125" s="75"/>
    </row>
    <row r="126" spans="3:7" ht="15" thickBot="1">
      <c r="C126" s="7"/>
      <c r="D126" s="7"/>
      <c r="E126" s="7"/>
      <c r="F126" s="7"/>
      <c r="G126" s="7"/>
    </row>
    <row r="128" spans="3:7">
      <c r="C128" s="32" t="s">
        <v>176</v>
      </c>
      <c r="D128" s="83" t="s">
        <v>177</v>
      </c>
      <c r="E128" s="83"/>
      <c r="F128" s="83"/>
      <c r="G128" s="32"/>
    </row>
    <row r="129" spans="3:7" ht="38.25" customHeight="1">
      <c r="C129" s="75" t="s">
        <v>178</v>
      </c>
      <c r="D129" s="75"/>
      <c r="E129" s="75"/>
      <c r="F129" s="75"/>
    </row>
    <row r="130" spans="3:7">
      <c r="C130" s="2"/>
      <c r="D130" s="2"/>
      <c r="E130" s="2"/>
      <c r="F130" s="2"/>
      <c r="G130" s="2"/>
    </row>
    <row r="131" spans="3:7">
      <c r="C131" s="4" t="s">
        <v>167</v>
      </c>
      <c r="D131" s="4" t="s">
        <v>179</v>
      </c>
      <c r="E131" s="4" t="s">
        <v>99</v>
      </c>
      <c r="F131" s="1"/>
      <c r="G131" s="1"/>
    </row>
    <row r="132" spans="3:7">
      <c r="C132" s="62">
        <v>1100</v>
      </c>
      <c r="D132" s="62">
        <v>1145</v>
      </c>
      <c r="E132" s="25">
        <f>C132/D132</f>
        <v>0.9606986899563319</v>
      </c>
      <c r="F132" s="35"/>
      <c r="G132" s="36"/>
    </row>
    <row r="133" spans="3:7">
      <c r="C133" s="3"/>
      <c r="D133" s="2"/>
      <c r="E133" s="2"/>
      <c r="F133" s="2"/>
      <c r="G133" s="2"/>
    </row>
    <row r="134" spans="3:7">
      <c r="C134" s="2" t="s">
        <v>6</v>
      </c>
      <c r="D134" s="2"/>
      <c r="E134" s="2"/>
      <c r="F134" s="2"/>
      <c r="G134" s="2"/>
    </row>
    <row r="135" spans="3:7">
      <c r="C135" s="75" t="s">
        <v>163</v>
      </c>
      <c r="D135" s="75"/>
      <c r="E135" s="75"/>
      <c r="F135" s="75"/>
    </row>
    <row r="136" spans="3:7" ht="15" thickBot="1">
      <c r="C136" s="7"/>
      <c r="D136" s="7"/>
      <c r="E136" s="7"/>
      <c r="F136" s="7"/>
      <c r="G136" s="7"/>
    </row>
    <row r="138" spans="3:7">
      <c r="C138" s="32" t="s">
        <v>180</v>
      </c>
      <c r="D138" s="83" t="s">
        <v>181</v>
      </c>
      <c r="E138" s="83"/>
      <c r="F138" s="83"/>
      <c r="G138" s="32"/>
    </row>
    <row r="139" spans="3:7" ht="24.75" customHeight="1">
      <c r="C139" s="75" t="s">
        <v>182</v>
      </c>
      <c r="D139" s="75"/>
      <c r="E139" s="75"/>
      <c r="F139" s="75"/>
    </row>
    <row r="140" spans="3:7">
      <c r="C140" s="2"/>
      <c r="D140" s="2"/>
      <c r="E140" s="2"/>
      <c r="F140" s="2"/>
      <c r="G140" s="2"/>
    </row>
    <row r="141" spans="3:7" ht="43.5">
      <c r="C141" s="4" t="s">
        <v>184</v>
      </c>
      <c r="D141" s="4" t="s">
        <v>183</v>
      </c>
      <c r="E141" s="4" t="s">
        <v>100</v>
      </c>
      <c r="F141" s="1"/>
      <c r="G141" s="1"/>
    </row>
    <row r="142" spans="3:7">
      <c r="C142" s="62">
        <v>4</v>
      </c>
      <c r="D142" s="38">
        <f>Governo!D45</f>
        <v>15520</v>
      </c>
      <c r="E142" s="39">
        <f>C142/D142</f>
        <v>2.577319587628866E-4</v>
      </c>
      <c r="F142" s="35"/>
      <c r="G142" s="36"/>
    </row>
    <row r="143" spans="3:7">
      <c r="C143" s="3"/>
      <c r="D143" s="2"/>
      <c r="E143" s="2"/>
      <c r="F143" s="2"/>
      <c r="G143" s="2"/>
    </row>
    <row r="144" spans="3:7">
      <c r="C144" s="2" t="s">
        <v>6</v>
      </c>
      <c r="D144" s="2"/>
      <c r="E144" s="2"/>
      <c r="F144" s="2"/>
      <c r="G144" s="2"/>
    </row>
    <row r="145" spans="3:7">
      <c r="C145" s="75" t="s">
        <v>185</v>
      </c>
      <c r="D145" s="75"/>
      <c r="E145" s="75"/>
      <c r="F145" s="75"/>
    </row>
    <row r="146" spans="3:7" ht="15" thickBot="1">
      <c r="C146" s="7"/>
      <c r="D146" s="7"/>
      <c r="E146" s="7"/>
      <c r="F146" s="7"/>
      <c r="G146" s="7"/>
    </row>
    <row r="148" spans="3:7">
      <c r="C148" s="32" t="s">
        <v>186</v>
      </c>
      <c r="D148" s="83" t="s">
        <v>187</v>
      </c>
      <c r="E148" s="83"/>
      <c r="F148" s="83"/>
      <c r="G148" s="32"/>
    </row>
    <row r="149" spans="3:7" ht="25.5" customHeight="1">
      <c r="C149" s="75" t="s">
        <v>191</v>
      </c>
      <c r="D149" s="75"/>
      <c r="E149" s="75"/>
      <c r="F149" s="75"/>
    </row>
    <row r="150" spans="3:7">
      <c r="C150" s="2"/>
      <c r="D150" s="2"/>
      <c r="E150" s="2"/>
      <c r="F150" s="2"/>
      <c r="G150" s="2"/>
    </row>
    <row r="151" spans="3:7" ht="43.5">
      <c r="C151" s="4" t="s">
        <v>188</v>
      </c>
      <c r="D151" s="4" t="s">
        <v>183</v>
      </c>
      <c r="E151" s="4" t="s">
        <v>101</v>
      </c>
      <c r="F151" s="1"/>
      <c r="G151" s="1"/>
    </row>
    <row r="152" spans="3:7">
      <c r="C152" s="62">
        <v>4</v>
      </c>
      <c r="D152" s="38">
        <f>Governo!D45</f>
        <v>15520</v>
      </c>
      <c r="E152" s="39">
        <f>C152/D152</f>
        <v>2.577319587628866E-4</v>
      </c>
      <c r="F152" s="35"/>
      <c r="G152" s="36"/>
    </row>
    <row r="153" spans="3:7">
      <c r="C153" s="3"/>
      <c r="D153" s="2"/>
      <c r="E153" s="2"/>
      <c r="F153" s="2"/>
      <c r="G153" s="2"/>
    </row>
    <row r="154" spans="3:7">
      <c r="C154" s="2" t="s">
        <v>6</v>
      </c>
      <c r="D154" s="2"/>
      <c r="E154" s="2"/>
      <c r="F154" s="2"/>
      <c r="G154" s="2"/>
    </row>
    <row r="155" spans="3:7">
      <c r="C155" s="75" t="s">
        <v>185</v>
      </c>
      <c r="D155" s="75"/>
      <c r="E155" s="75"/>
      <c r="F155" s="75"/>
    </row>
    <row r="156" spans="3:7" ht="15" thickBot="1">
      <c r="C156" s="7"/>
      <c r="D156" s="7"/>
      <c r="E156" s="7"/>
      <c r="F156" s="7"/>
      <c r="G156" s="7"/>
    </row>
    <row r="158" spans="3:7">
      <c r="C158" s="32" t="s">
        <v>189</v>
      </c>
      <c r="D158" s="83" t="s">
        <v>190</v>
      </c>
      <c r="E158" s="83"/>
      <c r="F158" s="83"/>
      <c r="G158" s="32"/>
    </row>
    <row r="159" spans="3:7" ht="31.5" customHeight="1">
      <c r="C159" s="75" t="s">
        <v>194</v>
      </c>
      <c r="D159" s="75"/>
      <c r="E159" s="75"/>
      <c r="F159" s="75"/>
    </row>
    <row r="160" spans="3:7">
      <c r="C160" s="2"/>
      <c r="D160" s="2"/>
      <c r="E160" s="2"/>
      <c r="F160" s="2"/>
      <c r="G160" s="2"/>
    </row>
    <row r="161" spans="3:7">
      <c r="C161" s="4" t="s">
        <v>202</v>
      </c>
      <c r="D161" s="4" t="s">
        <v>183</v>
      </c>
      <c r="E161" s="4" t="s">
        <v>102</v>
      </c>
      <c r="F161" s="1"/>
      <c r="G161" s="1"/>
    </row>
    <row r="162" spans="3:7">
      <c r="C162" s="62">
        <v>8</v>
      </c>
      <c r="D162" s="38">
        <f>Governo!D45</f>
        <v>15520</v>
      </c>
      <c r="E162" s="39">
        <f>(C162/D162)*1000</f>
        <v>0.51546391752577325</v>
      </c>
      <c r="F162" s="35"/>
      <c r="G162" s="36"/>
    </row>
    <row r="163" spans="3:7">
      <c r="C163" s="3"/>
      <c r="D163" s="2"/>
      <c r="E163" s="2"/>
      <c r="F163" s="2"/>
      <c r="G163" s="2"/>
    </row>
    <row r="164" spans="3:7">
      <c r="C164" s="2" t="s">
        <v>6</v>
      </c>
      <c r="D164" s="2"/>
      <c r="E164" s="2"/>
      <c r="F164" s="2"/>
      <c r="G164" s="2"/>
    </row>
    <row r="165" spans="3:7">
      <c r="C165" s="75" t="s">
        <v>185</v>
      </c>
      <c r="D165" s="75"/>
      <c r="E165" s="75"/>
      <c r="F165" s="75"/>
    </row>
    <row r="166" spans="3:7" ht="15" thickBot="1">
      <c r="C166" s="7"/>
      <c r="D166" s="7"/>
      <c r="E166" s="7"/>
      <c r="F166" s="7"/>
      <c r="G166" s="7"/>
    </row>
    <row r="168" spans="3:7">
      <c r="C168" s="32" t="s">
        <v>192</v>
      </c>
      <c r="D168" s="83" t="s">
        <v>193</v>
      </c>
      <c r="E168" s="83"/>
      <c r="F168" s="83"/>
      <c r="G168" s="3"/>
    </row>
    <row r="169" spans="3:7" ht="27.75" customHeight="1">
      <c r="C169" s="75" t="s">
        <v>197</v>
      </c>
      <c r="D169" s="75"/>
      <c r="E169" s="75"/>
      <c r="F169" s="75"/>
      <c r="G169" s="75"/>
    </row>
    <row r="170" spans="3:7">
      <c r="C170" s="2"/>
      <c r="D170" s="2"/>
      <c r="E170" s="2"/>
      <c r="F170" s="2"/>
      <c r="G170" s="2"/>
    </row>
    <row r="171" spans="3:7" ht="48.75" customHeight="1">
      <c r="C171" s="78" t="s">
        <v>195</v>
      </c>
      <c r="D171" s="79"/>
      <c r="E171" s="4" t="s">
        <v>196</v>
      </c>
      <c r="F171" s="4" t="s">
        <v>103</v>
      </c>
    </row>
    <row r="172" spans="3:7">
      <c r="C172" s="81">
        <f>(17+32+12)</f>
        <v>61</v>
      </c>
      <c r="D172" s="82"/>
      <c r="E172" s="62">
        <v>3</v>
      </c>
      <c r="F172" s="31">
        <f>C172/E172</f>
        <v>20.333333333333332</v>
      </c>
    </row>
    <row r="173" spans="3:7">
      <c r="C173" s="3"/>
      <c r="D173" s="2"/>
      <c r="E173" s="2"/>
      <c r="F173" s="2"/>
      <c r="G173" s="2"/>
    </row>
    <row r="174" spans="3:7">
      <c r="C174" s="2" t="s">
        <v>6</v>
      </c>
      <c r="D174" s="2"/>
      <c r="E174" s="2"/>
      <c r="F174" s="2"/>
      <c r="G174" s="2"/>
    </row>
    <row r="175" spans="3:7" ht="24.75" customHeight="1">
      <c r="C175" s="75" t="s">
        <v>198</v>
      </c>
      <c r="D175" s="75"/>
      <c r="E175" s="75"/>
      <c r="F175" s="75"/>
      <c r="G175" s="75"/>
    </row>
    <row r="176" spans="3:7" ht="15" thickBot="1">
      <c r="C176" s="7"/>
      <c r="D176" s="7"/>
      <c r="E176" s="7"/>
      <c r="F176" s="7"/>
      <c r="G176" s="7"/>
    </row>
    <row r="178" spans="3:7">
      <c r="C178" s="32" t="s">
        <v>199</v>
      </c>
      <c r="D178" s="83" t="s">
        <v>200</v>
      </c>
      <c r="E178" s="83"/>
      <c r="F178" s="83"/>
      <c r="G178" s="32"/>
    </row>
    <row r="179" spans="3:7">
      <c r="C179" s="75" t="s">
        <v>201</v>
      </c>
      <c r="D179" s="75"/>
      <c r="E179" s="75"/>
      <c r="F179" s="75"/>
    </row>
    <row r="180" spans="3:7">
      <c r="C180" s="2"/>
      <c r="D180" s="2"/>
      <c r="E180" s="2"/>
      <c r="F180" s="2"/>
      <c r="G180" s="2"/>
    </row>
    <row r="181" spans="3:7">
      <c r="C181" s="4" t="s">
        <v>203</v>
      </c>
      <c r="D181" s="4" t="s">
        <v>183</v>
      </c>
      <c r="E181" s="4" t="s">
        <v>104</v>
      </c>
      <c r="F181" s="1"/>
      <c r="G181" s="1"/>
    </row>
    <row r="182" spans="3:7">
      <c r="C182" s="62">
        <v>15</v>
      </c>
      <c r="D182" s="38">
        <f>Governo!D45</f>
        <v>15520</v>
      </c>
      <c r="E182" s="39">
        <f>(C182/D182)</f>
        <v>9.6649484536082478E-4</v>
      </c>
      <c r="F182" s="35"/>
      <c r="G182" s="36"/>
    </row>
    <row r="183" spans="3:7">
      <c r="C183" s="3"/>
      <c r="D183" s="2"/>
      <c r="E183" s="2"/>
      <c r="F183" s="2"/>
      <c r="G183" s="2"/>
    </row>
    <row r="184" spans="3:7">
      <c r="C184" s="2" t="s">
        <v>6</v>
      </c>
      <c r="D184" s="2"/>
      <c r="E184" s="2"/>
      <c r="F184" s="2"/>
      <c r="G184" s="2"/>
    </row>
    <row r="185" spans="3:7">
      <c r="C185" s="75" t="s">
        <v>185</v>
      </c>
      <c r="D185" s="75"/>
      <c r="E185" s="75"/>
      <c r="F185" s="75"/>
    </row>
    <row r="186" spans="3:7" ht="15" thickBot="1">
      <c r="C186" s="7"/>
      <c r="D186" s="7"/>
      <c r="E186" s="7"/>
      <c r="F186" s="7"/>
      <c r="G186" s="7"/>
    </row>
    <row r="188" spans="3:7">
      <c r="C188" s="32" t="s">
        <v>204</v>
      </c>
      <c r="D188" s="83" t="s">
        <v>205</v>
      </c>
      <c r="E188" s="83"/>
      <c r="F188" s="83"/>
      <c r="G188" s="32"/>
    </row>
    <row r="189" spans="3:7">
      <c r="C189" s="75" t="s">
        <v>206</v>
      </c>
      <c r="D189" s="75"/>
      <c r="E189" s="75"/>
      <c r="F189" s="75"/>
    </row>
    <row r="190" spans="3:7">
      <c r="C190" s="2"/>
      <c r="D190" s="2"/>
      <c r="E190" s="2"/>
      <c r="F190" s="2"/>
      <c r="G190" s="2"/>
    </row>
    <row r="191" spans="3:7">
      <c r="C191" s="4" t="s">
        <v>207</v>
      </c>
      <c r="D191" s="4" t="s">
        <v>208</v>
      </c>
      <c r="E191" s="4" t="s">
        <v>105</v>
      </c>
      <c r="F191" s="1"/>
      <c r="G191" s="1"/>
    </row>
    <row r="192" spans="3:7">
      <c r="C192" s="62">
        <v>32</v>
      </c>
      <c r="D192" s="62">
        <v>40</v>
      </c>
      <c r="E192" s="25">
        <f>(C192/D192)</f>
        <v>0.8</v>
      </c>
      <c r="F192" s="35"/>
      <c r="G192" s="36"/>
    </row>
    <row r="193" spans="3:7">
      <c r="C193" s="3"/>
      <c r="D193" s="2"/>
      <c r="E193" s="2"/>
      <c r="F193" s="2"/>
      <c r="G193" s="2"/>
    </row>
    <row r="194" spans="3:7">
      <c r="C194" s="2" t="s">
        <v>6</v>
      </c>
      <c r="D194" s="2"/>
      <c r="E194" s="2"/>
      <c r="F194" s="2"/>
      <c r="G194" s="2"/>
    </row>
    <row r="195" spans="3:7">
      <c r="C195" s="75" t="s">
        <v>209</v>
      </c>
      <c r="D195" s="75"/>
      <c r="E195" s="75"/>
      <c r="F195" s="75"/>
    </row>
    <row r="196" spans="3:7" ht="15" thickBot="1">
      <c r="C196" s="7"/>
      <c r="D196" s="7"/>
      <c r="E196" s="7"/>
      <c r="F196" s="7"/>
      <c r="G196" s="7"/>
    </row>
    <row r="198" spans="3:7">
      <c r="C198" s="32" t="s">
        <v>210</v>
      </c>
      <c r="D198" s="83" t="s">
        <v>211</v>
      </c>
      <c r="E198" s="83"/>
      <c r="F198" s="83"/>
      <c r="G198" s="32"/>
    </row>
    <row r="199" spans="3:7" ht="28.5" customHeight="1">
      <c r="C199" s="75" t="s">
        <v>212</v>
      </c>
      <c r="D199" s="75"/>
      <c r="E199" s="75"/>
      <c r="F199" s="75"/>
    </row>
    <row r="200" spans="3:7">
      <c r="C200" s="2"/>
      <c r="D200" s="2"/>
      <c r="E200" s="2"/>
      <c r="F200" s="2"/>
      <c r="G200" s="2"/>
    </row>
    <row r="201" spans="3:7" ht="29">
      <c r="C201" s="4" t="s">
        <v>213</v>
      </c>
      <c r="D201" s="4" t="s">
        <v>214</v>
      </c>
      <c r="E201" s="4" t="s">
        <v>106</v>
      </c>
      <c r="F201" s="1"/>
      <c r="G201" s="1"/>
    </row>
    <row r="202" spans="3:7">
      <c r="C202" s="62">
        <v>53</v>
      </c>
      <c r="D202" s="62">
        <v>70</v>
      </c>
      <c r="E202" s="25">
        <f>(C202/D202)</f>
        <v>0.75714285714285712</v>
      </c>
      <c r="F202" s="35"/>
      <c r="G202" s="36"/>
    </row>
    <row r="203" spans="3:7">
      <c r="C203" s="3"/>
      <c r="D203" s="2"/>
      <c r="E203" s="2"/>
      <c r="F203" s="2"/>
      <c r="G203" s="2"/>
    </row>
    <row r="204" spans="3:7">
      <c r="C204" s="2" t="s">
        <v>6</v>
      </c>
      <c r="D204" s="2"/>
      <c r="E204" s="2"/>
      <c r="F204" s="2"/>
      <c r="G204" s="2"/>
    </row>
    <row r="205" spans="3:7">
      <c r="C205" s="75" t="s">
        <v>209</v>
      </c>
      <c r="D205" s="75"/>
      <c r="E205" s="75"/>
      <c r="F205" s="75"/>
    </row>
    <row r="206" spans="3:7" ht="15" thickBot="1">
      <c r="C206" s="7"/>
      <c r="D206" s="7"/>
      <c r="E206" s="7"/>
      <c r="F206" s="7"/>
      <c r="G206" s="7"/>
    </row>
    <row r="208" spans="3:7">
      <c r="C208" s="32" t="s">
        <v>215</v>
      </c>
      <c r="D208" s="83" t="s">
        <v>216</v>
      </c>
      <c r="E208" s="83"/>
      <c r="F208" s="83"/>
      <c r="G208" s="32"/>
    </row>
    <row r="209" spans="3:7" ht="32.25" customHeight="1">
      <c r="C209" s="75" t="s">
        <v>217</v>
      </c>
      <c r="D209" s="75"/>
      <c r="E209" s="75"/>
      <c r="F209" s="75"/>
    </row>
    <row r="210" spans="3:7">
      <c r="C210" s="2"/>
      <c r="D210" s="2"/>
      <c r="E210" s="2"/>
      <c r="F210" s="2"/>
      <c r="G210" s="2"/>
    </row>
    <row r="211" spans="3:7" ht="29">
      <c r="C211" s="4" t="s">
        <v>218</v>
      </c>
      <c r="D211" s="4" t="s">
        <v>219</v>
      </c>
      <c r="E211" s="4" t="s">
        <v>107</v>
      </c>
      <c r="F211" s="1"/>
      <c r="G211" s="1"/>
    </row>
    <row r="212" spans="3:7">
      <c r="C212" s="62">
        <v>13.2</v>
      </c>
      <c r="D212" s="62">
        <v>15</v>
      </c>
      <c r="E212" s="25">
        <f>(C212/D212)</f>
        <v>0.88</v>
      </c>
      <c r="F212" s="35"/>
      <c r="G212" s="36"/>
    </row>
    <row r="213" spans="3:7">
      <c r="C213" s="3"/>
      <c r="D213" s="2"/>
      <c r="E213" s="2"/>
      <c r="F213" s="2"/>
      <c r="G213" s="2"/>
    </row>
    <row r="214" spans="3:7">
      <c r="C214" s="2" t="s">
        <v>6</v>
      </c>
      <c r="D214" s="2"/>
      <c r="E214" s="2"/>
      <c r="F214" s="2"/>
      <c r="G214" s="2"/>
    </row>
    <row r="215" spans="3:7">
      <c r="C215" s="75" t="s">
        <v>220</v>
      </c>
      <c r="D215" s="75"/>
      <c r="E215" s="75"/>
      <c r="F215" s="75"/>
    </row>
    <row r="216" spans="3:7" ht="15" thickBot="1">
      <c r="C216" s="7"/>
      <c r="D216" s="7"/>
      <c r="E216" s="7"/>
      <c r="F216" s="7"/>
      <c r="G216" s="7"/>
    </row>
    <row r="218" spans="3:7">
      <c r="C218" s="32" t="s">
        <v>221</v>
      </c>
      <c r="D218" s="83" t="s">
        <v>222</v>
      </c>
      <c r="E218" s="83"/>
      <c r="F218" s="83"/>
      <c r="G218" s="32"/>
    </row>
    <row r="219" spans="3:7">
      <c r="C219" s="75" t="s">
        <v>223</v>
      </c>
      <c r="D219" s="75"/>
      <c r="E219" s="75"/>
      <c r="F219" s="75"/>
    </row>
    <row r="220" spans="3:7">
      <c r="C220" s="2"/>
      <c r="D220" s="2"/>
      <c r="E220" s="2"/>
      <c r="F220" s="2"/>
      <c r="G220" s="2"/>
    </row>
    <row r="221" spans="3:7" ht="29">
      <c r="C221" s="4" t="s">
        <v>225</v>
      </c>
      <c r="D221" s="4" t="s">
        <v>224</v>
      </c>
      <c r="E221" s="4" t="s">
        <v>108</v>
      </c>
      <c r="F221" s="1"/>
      <c r="G221" s="1"/>
    </row>
    <row r="222" spans="3:7">
      <c r="C222" s="62">
        <v>90</v>
      </c>
      <c r="D222" s="62">
        <v>100</v>
      </c>
      <c r="E222" s="25">
        <f>(D222-C222)/D222</f>
        <v>0.1</v>
      </c>
      <c r="F222" s="35"/>
      <c r="G222" s="36"/>
    </row>
    <row r="223" spans="3:7">
      <c r="C223" s="3"/>
      <c r="D223" s="2"/>
      <c r="E223" s="2"/>
      <c r="F223" s="2"/>
      <c r="G223" s="2"/>
    </row>
    <row r="224" spans="3:7">
      <c r="C224" s="2" t="s">
        <v>6</v>
      </c>
      <c r="D224" s="2"/>
      <c r="E224" s="2"/>
      <c r="F224" s="2"/>
      <c r="G224" s="2"/>
    </row>
    <row r="225" spans="3:7">
      <c r="C225" s="75" t="s">
        <v>220</v>
      </c>
      <c r="D225" s="75"/>
      <c r="E225" s="75"/>
      <c r="F225" s="75"/>
    </row>
    <row r="226" spans="3:7" ht="15" thickBot="1">
      <c r="C226" s="7"/>
      <c r="D226" s="7"/>
      <c r="E226" s="7"/>
      <c r="F226" s="7"/>
      <c r="G226" s="7"/>
    </row>
    <row r="228" spans="3:7">
      <c r="C228" s="32" t="s">
        <v>226</v>
      </c>
      <c r="D228" s="33" t="s">
        <v>227</v>
      </c>
      <c r="E228" s="3"/>
      <c r="F228" s="3"/>
      <c r="G228" s="3"/>
    </row>
    <row r="229" spans="3:7" ht="52.5" customHeight="1">
      <c r="C229" s="75" t="s">
        <v>228</v>
      </c>
      <c r="D229" s="75"/>
      <c r="E229" s="75"/>
      <c r="F229" s="75"/>
      <c r="G229" s="75"/>
    </row>
    <row r="230" spans="3:7">
      <c r="C230" s="2"/>
      <c r="D230" s="2"/>
      <c r="E230" s="2"/>
      <c r="F230" s="2"/>
      <c r="G230" s="2"/>
    </row>
    <row r="231" spans="3:7" ht="39" customHeight="1">
      <c r="C231" s="78" t="s">
        <v>229</v>
      </c>
      <c r="D231" s="79"/>
      <c r="E231" s="4" t="s">
        <v>109</v>
      </c>
      <c r="F231" s="1"/>
      <c r="G231" s="1"/>
    </row>
    <row r="232" spans="3:7">
      <c r="C232" s="81">
        <v>6</v>
      </c>
      <c r="D232" s="82"/>
      <c r="E232" s="29" t="str">
        <f>IF(C232&lt;1.5,"A",IF(C232&lt;2.6,"B",IF(C232&lt;3.6,"C",IF(C232&lt;4.6,"D",IF(C232&lt;5.6,"E",IF(C232&lt;6.6,"F","G"))))))</f>
        <v>F</v>
      </c>
      <c r="F232" s="35"/>
      <c r="G232" s="36"/>
    </row>
    <row r="233" spans="3:7">
      <c r="C233" s="3"/>
      <c r="D233" s="2"/>
      <c r="E233" s="2"/>
      <c r="F233" s="2"/>
      <c r="G233" s="2"/>
    </row>
    <row r="234" spans="3:7">
      <c r="C234" s="2" t="s">
        <v>6</v>
      </c>
      <c r="D234" s="2"/>
      <c r="E234" s="2"/>
      <c r="F234" s="2"/>
      <c r="G234" s="2"/>
    </row>
    <row r="235" spans="3:7" ht="39.75" customHeight="1">
      <c r="C235" s="75" t="s">
        <v>230</v>
      </c>
      <c r="D235" s="75"/>
      <c r="E235" s="75"/>
      <c r="F235" s="75"/>
    </row>
    <row r="236" spans="3:7" ht="15" thickBot="1">
      <c r="C236" s="7"/>
      <c r="D236" s="7"/>
      <c r="E236" s="7"/>
      <c r="F236" s="7"/>
      <c r="G236" s="7"/>
    </row>
    <row r="238" spans="3:7">
      <c r="C238" s="32" t="s">
        <v>231</v>
      </c>
      <c r="D238" s="33" t="s">
        <v>232</v>
      </c>
      <c r="E238" s="3"/>
      <c r="F238" s="3"/>
      <c r="G238" s="3"/>
    </row>
    <row r="239" spans="3:7" ht="60" customHeight="1">
      <c r="C239" s="75" t="s">
        <v>233</v>
      </c>
      <c r="D239" s="75"/>
      <c r="E239" s="75"/>
      <c r="F239" s="75"/>
      <c r="G239" s="75"/>
    </row>
    <row r="241" spans="3:7" ht="31">
      <c r="C241" s="4" t="s">
        <v>234</v>
      </c>
      <c r="D241" s="4" t="s">
        <v>235</v>
      </c>
      <c r="E241" s="4" t="s">
        <v>236</v>
      </c>
      <c r="F241" s="4" t="s">
        <v>237</v>
      </c>
    </row>
    <row r="242" spans="3:7" ht="30.75" customHeight="1">
      <c r="C242" s="63">
        <v>53</v>
      </c>
      <c r="D242" s="62">
        <v>60000</v>
      </c>
      <c r="E242" s="38">
        <f>Governo!D45</f>
        <v>15520</v>
      </c>
      <c r="F242" s="64">
        <v>150</v>
      </c>
    </row>
    <row r="243" spans="3:7" ht="51.75" customHeight="1">
      <c r="C243" s="4" t="s">
        <v>238</v>
      </c>
      <c r="D243" s="4" t="s">
        <v>239</v>
      </c>
      <c r="E243" s="4" t="s">
        <v>240</v>
      </c>
      <c r="F243" s="4" t="s">
        <v>241</v>
      </c>
    </row>
    <row r="244" spans="3:7" ht="30" customHeight="1">
      <c r="C244" s="64">
        <v>5</v>
      </c>
      <c r="D244" s="62">
        <v>10000</v>
      </c>
      <c r="E244" s="62">
        <v>10000</v>
      </c>
      <c r="F244" s="64">
        <v>15</v>
      </c>
    </row>
    <row r="245" spans="3:7" ht="33" customHeight="1">
      <c r="C245" s="4" t="s">
        <v>244</v>
      </c>
      <c r="D245" s="4" t="s">
        <v>243</v>
      </c>
      <c r="E245" s="4" t="s">
        <v>242</v>
      </c>
      <c r="F245" s="4" t="s">
        <v>110</v>
      </c>
    </row>
    <row r="246" spans="3:7" ht="35.25" customHeight="1">
      <c r="C246" s="4">
        <f>C244*D242</f>
        <v>300000</v>
      </c>
      <c r="D246" s="42">
        <f>E242*F242</f>
        <v>2328000</v>
      </c>
      <c r="E246" s="4">
        <f>F244*(D244+E244)</f>
        <v>300000</v>
      </c>
      <c r="F246" s="4" t="str">
        <f>IF(((C246+D246)/E246)&gt;1,"&gt;1","&lt;1")</f>
        <v>&gt;1</v>
      </c>
    </row>
    <row r="248" spans="3:7">
      <c r="C248" s="2" t="s">
        <v>6</v>
      </c>
      <c r="D248" s="2"/>
      <c r="E248" s="2"/>
      <c r="F248" s="2"/>
    </row>
    <row r="249" spans="3:7" ht="32.25" customHeight="1">
      <c r="C249" s="75" t="s">
        <v>250</v>
      </c>
      <c r="D249" s="75"/>
      <c r="E249" s="75"/>
      <c r="F249" s="75"/>
    </row>
    <row r="250" spans="3:7" ht="15" thickBot="1">
      <c r="C250" s="7"/>
      <c r="D250" s="7"/>
      <c r="E250" s="7"/>
      <c r="F250" s="7"/>
      <c r="G250" s="7"/>
    </row>
    <row r="252" spans="3:7">
      <c r="C252" s="32" t="s">
        <v>248</v>
      </c>
      <c r="D252" s="33" t="s">
        <v>232</v>
      </c>
      <c r="E252" s="3"/>
      <c r="F252" s="3"/>
      <c r="G252" s="3"/>
    </row>
    <row r="253" spans="3:7" ht="24" customHeight="1">
      <c r="C253" s="75" t="s">
        <v>246</v>
      </c>
      <c r="D253" s="75"/>
      <c r="E253" s="75"/>
      <c r="F253" s="75"/>
      <c r="G253" s="75"/>
    </row>
    <row r="255" spans="3:7" ht="51.75" customHeight="1">
      <c r="C255" s="4" t="s">
        <v>245</v>
      </c>
      <c r="D255" s="4" t="s">
        <v>247</v>
      </c>
      <c r="F255" s="1"/>
    </row>
    <row r="256" spans="3:7">
      <c r="C256" s="65">
        <v>65</v>
      </c>
      <c r="D256" s="64">
        <f>447/365</f>
        <v>1.2246575342465753</v>
      </c>
      <c r="F256" s="43"/>
    </row>
  </sheetData>
  <sheetProtection password="C97A" sheet="1" objects="1" scenarios="1"/>
  <mergeCells count="83">
    <mergeCell ref="C239:G239"/>
    <mergeCell ref="C249:F249"/>
    <mergeCell ref="C253:G253"/>
    <mergeCell ref="C115:F115"/>
    <mergeCell ref="D98:F98"/>
    <mergeCell ref="C105:F105"/>
    <mergeCell ref="C99:F99"/>
    <mergeCell ref="D108:F108"/>
    <mergeCell ref="C109:F109"/>
    <mergeCell ref="C119:G119"/>
    <mergeCell ref="C121:D121"/>
    <mergeCell ref="C122:D122"/>
    <mergeCell ref="C125:F125"/>
    <mergeCell ref="D128:F128"/>
    <mergeCell ref="C129:F129"/>
    <mergeCell ref="C135:F135"/>
    <mergeCell ref="C81:D81"/>
    <mergeCell ref="C82:D82"/>
    <mergeCell ref="C85:G85"/>
    <mergeCell ref="C95:F95"/>
    <mergeCell ref="D88:F88"/>
    <mergeCell ref="C75:G75"/>
    <mergeCell ref="C71:D71"/>
    <mergeCell ref="C72:D72"/>
    <mergeCell ref="C79:G79"/>
    <mergeCell ref="C59:G59"/>
    <mergeCell ref="C65:F65"/>
    <mergeCell ref="C61:D61"/>
    <mergeCell ref="C62:D62"/>
    <mergeCell ref="C69:G69"/>
    <mergeCell ref="C4:G4"/>
    <mergeCell ref="C17:G17"/>
    <mergeCell ref="C25:G25"/>
    <mergeCell ref="C29:F29"/>
    <mergeCell ref="A1:G1"/>
    <mergeCell ref="A10:B10"/>
    <mergeCell ref="A7:B7"/>
    <mergeCell ref="A8:B8"/>
    <mergeCell ref="A9:B9"/>
    <mergeCell ref="A20:B20"/>
    <mergeCell ref="A21:B21"/>
    <mergeCell ref="A22:B22"/>
    <mergeCell ref="G7:G10"/>
    <mergeCell ref="G20:G22"/>
    <mergeCell ref="C13:F13"/>
    <mergeCell ref="C55:F55"/>
    <mergeCell ref="C49:G49"/>
    <mergeCell ref="C35:F35"/>
    <mergeCell ref="C39:F39"/>
    <mergeCell ref="C45:F45"/>
    <mergeCell ref="D138:F138"/>
    <mergeCell ref="C139:F139"/>
    <mergeCell ref="C145:F145"/>
    <mergeCell ref="D148:F148"/>
    <mergeCell ref="C149:F149"/>
    <mergeCell ref="C155:F155"/>
    <mergeCell ref="D158:F158"/>
    <mergeCell ref="C159:F159"/>
    <mergeCell ref="C165:F165"/>
    <mergeCell ref="C169:G169"/>
    <mergeCell ref="C171:D171"/>
    <mergeCell ref="C172:D172"/>
    <mergeCell ref="C175:G175"/>
    <mergeCell ref="D168:F168"/>
    <mergeCell ref="D178:F178"/>
    <mergeCell ref="C179:F179"/>
    <mergeCell ref="C185:F185"/>
    <mergeCell ref="D188:F188"/>
    <mergeCell ref="C189:F189"/>
    <mergeCell ref="C195:F195"/>
    <mergeCell ref="D198:F198"/>
    <mergeCell ref="C199:F199"/>
    <mergeCell ref="C205:F205"/>
    <mergeCell ref="D208:F208"/>
    <mergeCell ref="C229:G229"/>
    <mergeCell ref="C231:D231"/>
    <mergeCell ref="C232:D232"/>
    <mergeCell ref="C235:F235"/>
    <mergeCell ref="C209:F209"/>
    <mergeCell ref="C215:F215"/>
    <mergeCell ref="D218:F218"/>
    <mergeCell ref="C219:F219"/>
    <mergeCell ref="C225:F225"/>
  </mergeCells>
  <pageMargins left="0.27559055118110237" right="0.39370078740157483" top="0.56999999999999995" bottom="0.39370078740157483" header="0.23622047244094491" footer="0.15748031496062992"/>
  <pageSetup paperSize="9" orientation="landscape" r:id="rId1"/>
  <headerFooter>
    <oddHeader xml:space="preserve">&amp;LUNI/PdR 5:2103&amp;RIndicatori dei processi operativi
</oddHeader>
  </headerFooter>
  <rowBreaks count="13" manualBreakCount="13">
    <brk id="26" max="16383" man="1"/>
    <brk id="46" max="16383" man="1"/>
    <brk id="67" max="16383" man="1"/>
    <brk id="87" max="16383" man="1"/>
    <brk id="107" max="16383" man="1"/>
    <brk id="127" max="16383" man="1"/>
    <brk id="147" max="16383" man="1"/>
    <brk id="167" max="16383" man="1"/>
    <brk id="187" max="16383" man="1"/>
    <brk id="207" max="16383" man="1"/>
    <brk id="227" max="16383" man="1"/>
    <brk id="237" max="16383" man="1"/>
    <brk id="25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G237"/>
  <sheetViews>
    <sheetView topLeftCell="A145" workbookViewId="0">
      <selection activeCell="C161" sqref="C161"/>
    </sheetView>
  </sheetViews>
  <sheetFormatPr defaultRowHeight="14.5"/>
  <cols>
    <col min="1" max="1" width="4.7265625" customWidth="1"/>
    <col min="2" max="2" width="5.54296875" customWidth="1"/>
    <col min="3" max="7" width="24.7265625" customWidth="1"/>
  </cols>
  <sheetData>
    <row r="1" spans="1:7" ht="18.5">
      <c r="A1" s="76" t="s">
        <v>251</v>
      </c>
      <c r="B1" s="76"/>
      <c r="C1" s="76"/>
      <c r="D1" s="76"/>
      <c r="E1" s="76"/>
      <c r="F1" s="76"/>
      <c r="G1" s="76"/>
    </row>
    <row r="2" spans="1:7">
      <c r="A2" s="2"/>
      <c r="B2" s="2"/>
      <c r="C2" s="2"/>
      <c r="D2" s="2"/>
      <c r="E2" s="2"/>
      <c r="F2" s="2"/>
      <c r="G2" s="2"/>
    </row>
    <row r="3" spans="1:7" ht="20.25" customHeight="1">
      <c r="A3" s="2"/>
      <c r="B3" s="2"/>
      <c r="C3" s="6" t="s">
        <v>252</v>
      </c>
      <c r="D3" s="8" t="s">
        <v>253</v>
      </c>
      <c r="E3" s="2"/>
      <c r="F3" s="2"/>
      <c r="G3" s="2"/>
    </row>
    <row r="4" spans="1:7" ht="54" customHeight="1">
      <c r="A4" s="2"/>
      <c r="B4" s="2"/>
      <c r="C4" s="75" t="s">
        <v>254</v>
      </c>
      <c r="D4" s="75"/>
      <c r="E4" s="75"/>
      <c r="F4" s="75"/>
      <c r="G4" s="2"/>
    </row>
    <row r="5" spans="1:7">
      <c r="A5" s="2"/>
      <c r="B5" s="2"/>
      <c r="C5" s="2"/>
      <c r="D5" s="2"/>
      <c r="E5" s="2"/>
      <c r="F5" s="2"/>
      <c r="G5" s="2"/>
    </row>
    <row r="6" spans="1:7" ht="29">
      <c r="A6" s="1"/>
      <c r="B6" s="1"/>
      <c r="C6" s="4" t="s">
        <v>257</v>
      </c>
      <c r="D6" s="4" t="s">
        <v>256</v>
      </c>
      <c r="E6" s="4" t="s">
        <v>258</v>
      </c>
      <c r="F6" s="4" t="s">
        <v>259</v>
      </c>
      <c r="G6" s="4" t="s">
        <v>260</v>
      </c>
    </row>
    <row r="7" spans="1:7">
      <c r="A7" s="1"/>
      <c r="B7" s="1"/>
      <c r="C7" s="66">
        <f>(4*81)+(6*22)</f>
        <v>456</v>
      </c>
      <c r="D7" s="67">
        <f>81+22</f>
        <v>103</v>
      </c>
      <c r="E7" s="66">
        <f>7*187</f>
        <v>1309</v>
      </c>
      <c r="F7" s="66">
        <v>187</v>
      </c>
      <c r="G7" s="29">
        <f>(C7/D7)+(E7/F7)</f>
        <v>11.427184466019417</v>
      </c>
    </row>
    <row r="8" spans="1:7">
      <c r="A8" s="2"/>
      <c r="B8" s="2"/>
      <c r="C8" s="3"/>
      <c r="D8" s="2"/>
      <c r="E8" s="2"/>
      <c r="F8" s="2"/>
      <c r="G8" s="2"/>
    </row>
    <row r="9" spans="1:7">
      <c r="A9" s="2"/>
      <c r="B9" s="2"/>
      <c r="C9" s="2" t="s">
        <v>6</v>
      </c>
      <c r="D9" s="2"/>
      <c r="E9" s="2"/>
      <c r="F9" s="2"/>
      <c r="G9" s="2"/>
    </row>
    <row r="10" spans="1:7" ht="39" customHeight="1">
      <c r="A10" s="2"/>
      <c r="B10" s="2"/>
      <c r="C10" s="75" t="s">
        <v>255</v>
      </c>
      <c r="D10" s="75"/>
      <c r="E10" s="75"/>
      <c r="F10" s="75"/>
      <c r="G10" s="2"/>
    </row>
    <row r="11" spans="1:7" ht="15" thickBot="1">
      <c r="A11" s="2"/>
      <c r="B11" s="2"/>
      <c r="C11" s="7"/>
      <c r="D11" s="7"/>
      <c r="E11" s="7"/>
      <c r="F11" s="7"/>
      <c r="G11" s="7"/>
    </row>
    <row r="12" spans="1:7">
      <c r="A12" s="2"/>
      <c r="B12" s="2"/>
      <c r="C12" s="2"/>
      <c r="D12" s="2"/>
      <c r="E12" s="2"/>
      <c r="F12" s="2"/>
      <c r="G12" s="2"/>
    </row>
    <row r="13" spans="1:7">
      <c r="A13" s="2"/>
      <c r="B13" s="2"/>
      <c r="C13" s="6" t="s">
        <v>262</v>
      </c>
      <c r="D13" s="8" t="s">
        <v>290</v>
      </c>
      <c r="E13" s="2"/>
      <c r="F13" s="2"/>
      <c r="G13" s="2"/>
    </row>
    <row r="14" spans="1:7" ht="29.25" customHeight="1">
      <c r="A14" s="2"/>
      <c r="B14" s="2"/>
      <c r="C14" s="75" t="s">
        <v>289</v>
      </c>
      <c r="D14" s="75"/>
      <c r="E14" s="75"/>
      <c r="F14" s="75"/>
      <c r="G14" s="2"/>
    </row>
    <row r="15" spans="1:7">
      <c r="A15" s="2"/>
      <c r="B15" s="2"/>
      <c r="C15" s="2"/>
      <c r="D15" s="2"/>
      <c r="E15" s="2"/>
      <c r="F15" s="2"/>
      <c r="G15" s="2"/>
    </row>
    <row r="16" spans="1:7" ht="45" customHeight="1">
      <c r="A16" s="2"/>
      <c r="B16" s="2"/>
      <c r="C16" s="4" t="s">
        <v>264</v>
      </c>
      <c r="D16" s="4" t="s">
        <v>265</v>
      </c>
      <c r="E16" s="4" t="s">
        <v>261</v>
      </c>
      <c r="F16" s="4" t="s">
        <v>263</v>
      </c>
    </row>
    <row r="17" spans="1:7">
      <c r="A17" s="2"/>
      <c r="B17" s="2"/>
      <c r="C17" s="66">
        <v>456</v>
      </c>
      <c r="D17" s="67">
        <v>8</v>
      </c>
      <c r="E17" s="66">
        <v>103</v>
      </c>
      <c r="F17" s="90">
        <f>((C17/D17)/E17)+((C19/D19)/E19)</f>
        <v>1.5533980582524272</v>
      </c>
      <c r="G17" s="36"/>
    </row>
    <row r="18" spans="1:7" ht="45" customHeight="1">
      <c r="A18" s="2"/>
      <c r="B18" s="2"/>
      <c r="C18" s="4" t="s">
        <v>266</v>
      </c>
      <c r="D18" s="4" t="s">
        <v>267</v>
      </c>
      <c r="E18" s="4" t="s">
        <v>268</v>
      </c>
      <c r="F18" s="91"/>
      <c r="G18" s="36"/>
    </row>
    <row r="19" spans="1:7">
      <c r="A19" s="2"/>
      <c r="B19" s="2"/>
      <c r="C19" s="66">
        <v>14</v>
      </c>
      <c r="D19" s="67">
        <v>7</v>
      </c>
      <c r="E19" s="66">
        <v>2</v>
      </c>
      <c r="F19" s="92"/>
      <c r="G19" s="36"/>
    </row>
    <row r="20" spans="1:7">
      <c r="A20" s="2"/>
      <c r="B20" s="2"/>
      <c r="C20" s="3"/>
      <c r="D20" s="2"/>
      <c r="E20" s="2"/>
      <c r="F20" s="2"/>
      <c r="G20" s="2"/>
    </row>
    <row r="21" spans="1:7">
      <c r="A21" s="2"/>
      <c r="B21" s="2"/>
      <c r="C21" s="2" t="s">
        <v>6</v>
      </c>
      <c r="D21" s="2"/>
      <c r="E21" s="2"/>
      <c r="F21" s="2"/>
      <c r="G21" s="2"/>
    </row>
    <row r="22" spans="1:7" ht="25.5" customHeight="1">
      <c r="A22" s="2"/>
      <c r="B22" s="2"/>
      <c r="C22" s="75" t="s">
        <v>296</v>
      </c>
      <c r="D22" s="75"/>
      <c r="E22" s="75"/>
      <c r="F22" s="75"/>
      <c r="G22" s="2"/>
    </row>
    <row r="23" spans="1:7" ht="15" thickBot="1">
      <c r="A23" s="2"/>
      <c r="B23" s="2"/>
      <c r="C23" s="7"/>
      <c r="D23" s="7"/>
      <c r="E23" s="7"/>
      <c r="F23" s="7"/>
      <c r="G23" s="7"/>
    </row>
    <row r="25" spans="1:7">
      <c r="C25" s="6" t="s">
        <v>291</v>
      </c>
      <c r="D25" s="8" t="s">
        <v>292</v>
      </c>
      <c r="E25" s="2"/>
      <c r="F25" s="2"/>
      <c r="G25" s="2"/>
    </row>
    <row r="26" spans="1:7" ht="30.75" customHeight="1">
      <c r="C26" s="75" t="s">
        <v>293</v>
      </c>
      <c r="D26" s="75"/>
      <c r="E26" s="75"/>
      <c r="F26" s="75"/>
      <c r="G26" s="2"/>
    </row>
    <row r="27" spans="1:7">
      <c r="C27" s="2"/>
      <c r="D27" s="2"/>
      <c r="E27" s="2"/>
      <c r="F27" s="2"/>
      <c r="G27" s="2"/>
    </row>
    <row r="28" spans="1:7" ht="72.5">
      <c r="C28" s="4" t="s">
        <v>299</v>
      </c>
      <c r="D28" s="4" t="s">
        <v>294</v>
      </c>
      <c r="E28" s="4" t="s">
        <v>269</v>
      </c>
    </row>
    <row r="29" spans="1:7">
      <c r="C29" s="68">
        <v>19987</v>
      </c>
      <c r="D29" s="59">
        <v>20951</v>
      </c>
      <c r="E29" s="46">
        <f>C29/D29</f>
        <v>0.95398787647367667</v>
      </c>
      <c r="F29" s="45"/>
      <c r="G29" s="36"/>
    </row>
    <row r="30" spans="1:7">
      <c r="C30" s="3"/>
      <c r="D30" s="2"/>
      <c r="E30" s="2"/>
      <c r="F30" s="2"/>
      <c r="G30" s="47"/>
    </row>
    <row r="31" spans="1:7">
      <c r="C31" s="2" t="s">
        <v>6</v>
      </c>
      <c r="D31" s="2"/>
      <c r="E31" s="2"/>
      <c r="F31" s="2"/>
      <c r="G31" s="2"/>
    </row>
    <row r="32" spans="1:7">
      <c r="C32" s="75" t="s">
        <v>295</v>
      </c>
      <c r="D32" s="75"/>
      <c r="E32" s="75"/>
      <c r="F32" s="75"/>
      <c r="G32" s="2"/>
    </row>
    <row r="33" spans="3:7" ht="15" thickBot="1">
      <c r="C33" s="7"/>
      <c r="D33" s="7"/>
      <c r="E33" s="7"/>
      <c r="F33" s="7"/>
      <c r="G33" s="7"/>
    </row>
    <row r="35" spans="3:7">
      <c r="C35" s="6" t="s">
        <v>297</v>
      </c>
      <c r="D35" s="8" t="s">
        <v>298</v>
      </c>
      <c r="E35" s="2"/>
      <c r="F35" s="2"/>
      <c r="G35" s="2"/>
    </row>
    <row r="36" spans="3:7" ht="36" customHeight="1">
      <c r="C36" s="75" t="s">
        <v>301</v>
      </c>
      <c r="D36" s="75"/>
      <c r="E36" s="75"/>
      <c r="F36" s="75"/>
      <c r="G36" s="2"/>
    </row>
    <row r="37" spans="3:7">
      <c r="C37" s="2"/>
      <c r="D37" s="2"/>
      <c r="E37" s="2"/>
      <c r="F37" s="2"/>
      <c r="G37" s="2"/>
    </row>
    <row r="38" spans="3:7" ht="72.5">
      <c r="C38" s="4" t="s">
        <v>300</v>
      </c>
      <c r="D38" s="4" t="s">
        <v>302</v>
      </c>
      <c r="E38" s="4" t="s">
        <v>270</v>
      </c>
      <c r="G38" s="1"/>
    </row>
    <row r="39" spans="3:7">
      <c r="C39" s="68">
        <v>11187</v>
      </c>
      <c r="D39" s="59">
        <v>13967</v>
      </c>
      <c r="E39" s="46">
        <f>C39/D39</f>
        <v>0.80095940431015966</v>
      </c>
      <c r="F39" s="45"/>
      <c r="G39" s="36"/>
    </row>
    <row r="40" spans="3:7">
      <c r="C40" s="3"/>
      <c r="D40" s="2"/>
      <c r="E40" s="2"/>
      <c r="F40" s="2"/>
      <c r="G40" s="2"/>
    </row>
    <row r="41" spans="3:7">
      <c r="C41" s="2" t="s">
        <v>6</v>
      </c>
      <c r="D41" s="2"/>
      <c r="E41" s="2"/>
      <c r="F41" s="2"/>
      <c r="G41" s="2"/>
    </row>
    <row r="42" spans="3:7">
      <c r="C42" s="75" t="s">
        <v>295</v>
      </c>
      <c r="D42" s="75"/>
      <c r="E42" s="75"/>
      <c r="F42" s="75"/>
      <c r="G42" s="2"/>
    </row>
    <row r="43" spans="3:7" ht="15" thickBot="1">
      <c r="C43" s="7"/>
      <c r="D43" s="7"/>
      <c r="E43" s="7"/>
      <c r="F43" s="7"/>
      <c r="G43" s="7"/>
    </row>
    <row r="45" spans="3:7">
      <c r="C45" s="6" t="s">
        <v>303</v>
      </c>
      <c r="D45" s="8" t="s">
        <v>304</v>
      </c>
      <c r="E45" s="2"/>
      <c r="F45" s="2"/>
      <c r="G45" s="2"/>
    </row>
    <row r="46" spans="3:7" ht="52.5" customHeight="1">
      <c r="C46" s="75" t="s">
        <v>305</v>
      </c>
      <c r="D46" s="75"/>
      <c r="E46" s="75"/>
      <c r="F46" s="75"/>
      <c r="G46" s="2"/>
    </row>
    <row r="47" spans="3:7">
      <c r="C47" s="2"/>
      <c r="D47" s="2"/>
      <c r="E47" s="2"/>
      <c r="F47" s="2"/>
      <c r="G47" s="2"/>
    </row>
    <row r="48" spans="3:7" ht="43.5">
      <c r="C48" s="4" t="s">
        <v>306</v>
      </c>
      <c r="D48" s="4" t="s">
        <v>307</v>
      </c>
      <c r="E48" s="4" t="s">
        <v>271</v>
      </c>
      <c r="G48" s="1"/>
    </row>
    <row r="49" spans="3:7">
      <c r="C49" s="60">
        <v>20</v>
      </c>
      <c r="D49" s="59">
        <f>(456+1309+50)</f>
        <v>1815</v>
      </c>
      <c r="E49" s="48">
        <f>C49/D49</f>
        <v>1.1019283746556474E-2</v>
      </c>
      <c r="F49" s="45"/>
      <c r="G49" s="36"/>
    </row>
    <row r="50" spans="3:7">
      <c r="C50" s="3"/>
      <c r="D50" s="2"/>
      <c r="E50" s="2"/>
      <c r="F50" s="2"/>
      <c r="G50" s="2"/>
    </row>
    <row r="51" spans="3:7">
      <c r="C51" s="2" t="s">
        <v>6</v>
      </c>
      <c r="D51" s="2"/>
      <c r="E51" s="2"/>
      <c r="F51" s="2"/>
      <c r="G51" s="2"/>
    </row>
    <row r="52" spans="3:7">
      <c r="C52" s="75" t="s">
        <v>163</v>
      </c>
      <c r="D52" s="75"/>
      <c r="E52" s="75"/>
      <c r="F52" s="75"/>
      <c r="G52" s="2"/>
    </row>
    <row r="53" spans="3:7" ht="15" thickBot="1">
      <c r="C53" s="7"/>
      <c r="D53" s="7"/>
      <c r="E53" s="7"/>
      <c r="F53" s="7"/>
      <c r="G53" s="7"/>
    </row>
    <row r="55" spans="3:7">
      <c r="C55" s="6" t="s">
        <v>308</v>
      </c>
      <c r="D55" s="8" t="s">
        <v>309</v>
      </c>
      <c r="E55" s="2"/>
      <c r="F55" s="2"/>
      <c r="G55" s="2"/>
    </row>
    <row r="56" spans="3:7" ht="39" customHeight="1">
      <c r="C56" s="75" t="s">
        <v>310</v>
      </c>
      <c r="D56" s="75"/>
      <c r="E56" s="75"/>
      <c r="F56" s="75"/>
      <c r="G56" s="2"/>
    </row>
    <row r="57" spans="3:7">
      <c r="C57" s="2"/>
      <c r="D57" s="2"/>
      <c r="E57" s="2"/>
      <c r="F57" s="2"/>
      <c r="G57" s="2"/>
    </row>
    <row r="58" spans="3:7" ht="29">
      <c r="C58" s="4" t="s">
        <v>311</v>
      </c>
      <c r="D58" s="4" t="s">
        <v>312</v>
      </c>
      <c r="E58" s="4" t="s">
        <v>272</v>
      </c>
      <c r="G58" s="1"/>
    </row>
    <row r="59" spans="3:7">
      <c r="C59" s="60">
        <v>2</v>
      </c>
      <c r="D59" s="59">
        <v>71</v>
      </c>
      <c r="E59" s="48">
        <f>C59/D59</f>
        <v>2.8169014084507043E-2</v>
      </c>
      <c r="F59" s="45"/>
      <c r="G59" s="36"/>
    </row>
    <row r="60" spans="3:7">
      <c r="C60" s="3"/>
      <c r="D60" s="2"/>
      <c r="E60" s="2"/>
      <c r="F60" s="2"/>
      <c r="G60" s="2"/>
    </row>
    <row r="61" spans="3:7">
      <c r="C61" s="2" t="s">
        <v>6</v>
      </c>
      <c r="D61" s="2"/>
      <c r="E61" s="2"/>
      <c r="F61" s="2"/>
      <c r="G61" s="2"/>
    </row>
    <row r="62" spans="3:7" ht="31.5" customHeight="1">
      <c r="C62" s="75" t="s">
        <v>313</v>
      </c>
      <c r="D62" s="75"/>
      <c r="E62" s="75"/>
      <c r="F62" s="75"/>
      <c r="G62" s="2"/>
    </row>
    <row r="63" spans="3:7" ht="15" thickBot="1">
      <c r="C63" s="7"/>
      <c r="D63" s="7"/>
      <c r="E63" s="7"/>
      <c r="F63" s="7"/>
      <c r="G63" s="7"/>
    </row>
    <row r="65" spans="3:7">
      <c r="C65" s="6" t="s">
        <v>314</v>
      </c>
      <c r="D65" s="8" t="s">
        <v>316</v>
      </c>
      <c r="E65" s="2"/>
      <c r="F65" s="2"/>
      <c r="G65" s="2"/>
    </row>
    <row r="66" spans="3:7" ht="48.75" customHeight="1">
      <c r="C66" s="75" t="s">
        <v>315</v>
      </c>
      <c r="D66" s="75"/>
      <c r="E66" s="75"/>
      <c r="F66" s="75"/>
      <c r="G66" s="2"/>
    </row>
    <row r="67" spans="3:7">
      <c r="C67" s="2"/>
      <c r="D67" s="2"/>
      <c r="E67" s="2"/>
      <c r="F67" s="2"/>
      <c r="G67" s="2"/>
    </row>
    <row r="68" spans="3:7">
      <c r="C68" s="4" t="s">
        <v>317</v>
      </c>
      <c r="D68" s="4" t="s">
        <v>318</v>
      </c>
      <c r="E68" s="4" t="s">
        <v>319</v>
      </c>
      <c r="F68" s="4" t="s">
        <v>320</v>
      </c>
      <c r="G68" s="4" t="s">
        <v>273</v>
      </c>
    </row>
    <row r="69" spans="3:7">
      <c r="C69" s="60">
        <v>70</v>
      </c>
      <c r="D69" s="59">
        <v>0</v>
      </c>
      <c r="E69" s="60">
        <v>0</v>
      </c>
      <c r="F69" s="60">
        <v>60</v>
      </c>
      <c r="G69" s="25">
        <f>(C69+D69+E69)/F69</f>
        <v>1.1666666666666667</v>
      </c>
    </row>
    <row r="70" spans="3:7">
      <c r="C70" s="3"/>
      <c r="D70" s="2"/>
      <c r="E70" s="2"/>
      <c r="F70" s="2"/>
      <c r="G70" s="2"/>
    </row>
    <row r="71" spans="3:7">
      <c r="C71" s="2" t="s">
        <v>6</v>
      </c>
      <c r="D71" s="2"/>
      <c r="E71" s="2"/>
      <c r="F71" s="2"/>
      <c r="G71" s="2"/>
    </row>
    <row r="72" spans="3:7">
      <c r="C72" s="75" t="s">
        <v>163</v>
      </c>
      <c r="D72" s="75"/>
      <c r="E72" s="75"/>
      <c r="F72" s="75"/>
      <c r="G72" s="2"/>
    </row>
    <row r="73" spans="3:7" ht="15" thickBot="1">
      <c r="C73" s="7"/>
      <c r="D73" s="7"/>
      <c r="E73" s="7"/>
      <c r="F73" s="7"/>
      <c r="G73" s="7"/>
    </row>
    <row r="75" spans="3:7">
      <c r="C75" s="6" t="s">
        <v>321</v>
      </c>
      <c r="D75" s="8" t="s">
        <v>324</v>
      </c>
      <c r="E75" s="2"/>
      <c r="F75" s="2"/>
      <c r="G75" s="2"/>
    </row>
    <row r="76" spans="3:7" ht="42" customHeight="1">
      <c r="C76" s="75" t="s">
        <v>325</v>
      </c>
      <c r="D76" s="75"/>
      <c r="E76" s="75"/>
      <c r="F76" s="75"/>
      <c r="G76" s="2"/>
    </row>
    <row r="77" spans="3:7">
      <c r="C77" s="2"/>
      <c r="D77" s="2"/>
      <c r="E77" s="2"/>
      <c r="F77" s="2"/>
      <c r="G77" s="2"/>
    </row>
    <row r="78" spans="3:7" ht="29">
      <c r="C78" s="4" t="s">
        <v>322</v>
      </c>
      <c r="D78" s="4" t="s">
        <v>323</v>
      </c>
      <c r="E78" s="4" t="s">
        <v>274</v>
      </c>
    </row>
    <row r="79" spans="3:7">
      <c r="C79" s="60">
        <v>70</v>
      </c>
      <c r="D79" s="59">
        <v>70</v>
      </c>
      <c r="E79" s="25">
        <f>C79/D79</f>
        <v>1</v>
      </c>
    </row>
    <row r="80" spans="3:7">
      <c r="C80" s="3"/>
      <c r="D80" s="2"/>
      <c r="E80" s="2"/>
      <c r="F80" s="2"/>
      <c r="G80" s="2"/>
    </row>
    <row r="81" spans="3:7">
      <c r="C81" s="2" t="s">
        <v>6</v>
      </c>
      <c r="D81" s="2"/>
      <c r="E81" s="2"/>
      <c r="F81" s="2"/>
      <c r="G81" s="2"/>
    </row>
    <row r="82" spans="3:7">
      <c r="C82" s="75" t="s">
        <v>163</v>
      </c>
      <c r="D82" s="75"/>
      <c r="E82" s="75"/>
      <c r="F82" s="75"/>
      <c r="G82" s="2"/>
    </row>
    <row r="83" spans="3:7" ht="15" thickBot="1">
      <c r="C83" s="7"/>
      <c r="D83" s="7"/>
      <c r="E83" s="7"/>
      <c r="F83" s="7"/>
      <c r="G83" s="7"/>
    </row>
    <row r="85" spans="3:7">
      <c r="C85" s="6" t="s">
        <v>326</v>
      </c>
      <c r="D85" s="50" t="s">
        <v>328</v>
      </c>
      <c r="E85" s="2"/>
      <c r="F85" s="2"/>
      <c r="G85" s="2"/>
    </row>
    <row r="86" spans="3:7" ht="35.25" customHeight="1">
      <c r="C86" s="75" t="s">
        <v>329</v>
      </c>
      <c r="D86" s="75"/>
      <c r="E86" s="75"/>
      <c r="F86" s="75"/>
      <c r="G86" s="2"/>
    </row>
    <row r="87" spans="3:7">
      <c r="C87" s="2"/>
      <c r="D87" s="2"/>
      <c r="E87" s="2"/>
      <c r="F87" s="2"/>
      <c r="G87" s="2"/>
    </row>
    <row r="88" spans="3:7" ht="29">
      <c r="C88" s="4" t="s">
        <v>330</v>
      </c>
      <c r="D88" s="4" t="s">
        <v>331</v>
      </c>
      <c r="E88" s="4" t="s">
        <v>275</v>
      </c>
      <c r="G88" s="1"/>
    </row>
    <row r="89" spans="3:7">
      <c r="C89" s="68">
        <f>25+16+10</f>
        <v>51</v>
      </c>
      <c r="D89" s="59">
        <v>3</v>
      </c>
      <c r="E89" s="46">
        <f>C89/D89</f>
        <v>17</v>
      </c>
      <c r="F89" s="45"/>
      <c r="G89" s="36"/>
    </row>
    <row r="90" spans="3:7">
      <c r="C90" s="3"/>
      <c r="D90" s="2"/>
      <c r="E90" s="2"/>
      <c r="F90" s="2"/>
      <c r="G90" s="2"/>
    </row>
    <row r="91" spans="3:7">
      <c r="C91" s="2" t="s">
        <v>6</v>
      </c>
      <c r="D91" s="2"/>
      <c r="E91" s="2"/>
      <c r="F91" s="2"/>
      <c r="G91" s="2"/>
    </row>
    <row r="92" spans="3:7">
      <c r="C92" s="75" t="s">
        <v>327</v>
      </c>
      <c r="D92" s="75"/>
      <c r="E92" s="75"/>
      <c r="F92" s="75"/>
      <c r="G92" s="2"/>
    </row>
    <row r="93" spans="3:7" ht="15" thickBot="1">
      <c r="C93" s="7"/>
      <c r="D93" s="7"/>
      <c r="E93" s="7"/>
      <c r="F93" s="7"/>
      <c r="G93" s="7"/>
    </row>
    <row r="95" spans="3:7">
      <c r="C95" s="6" t="s">
        <v>332</v>
      </c>
      <c r="D95" s="50" t="s">
        <v>333</v>
      </c>
      <c r="E95" s="2"/>
      <c r="F95" s="2"/>
      <c r="G95" s="2"/>
    </row>
    <row r="96" spans="3:7" ht="66" customHeight="1">
      <c r="C96" s="75" t="s">
        <v>357</v>
      </c>
      <c r="D96" s="75"/>
      <c r="E96" s="75"/>
      <c r="F96" s="75"/>
      <c r="G96" s="2"/>
    </row>
    <row r="97" spans="3:7">
      <c r="C97" s="2"/>
      <c r="D97" s="2"/>
      <c r="E97" s="2"/>
      <c r="F97" s="2"/>
      <c r="G97" s="2"/>
    </row>
    <row r="98" spans="3:7" ht="18.75" customHeight="1">
      <c r="C98" s="4" t="s">
        <v>334</v>
      </c>
      <c r="D98" s="4" t="s">
        <v>40</v>
      </c>
      <c r="E98" s="4" t="s">
        <v>276</v>
      </c>
      <c r="G98" s="1"/>
    </row>
    <row r="99" spans="3:7" ht="15.75" customHeight="1">
      <c r="C99" s="68">
        <v>2</v>
      </c>
      <c r="D99" s="38">
        <f>Governo!D45</f>
        <v>15520</v>
      </c>
      <c r="E99" s="46">
        <f>(C99/D99)*1000</f>
        <v>0.12886597938144331</v>
      </c>
      <c r="F99" s="45"/>
      <c r="G99" s="36"/>
    </row>
    <row r="100" spans="3:7">
      <c r="C100" s="3"/>
      <c r="D100" s="2"/>
      <c r="E100" s="2"/>
      <c r="F100" s="2"/>
      <c r="G100" s="2"/>
    </row>
    <row r="101" spans="3:7">
      <c r="C101" s="2" t="s">
        <v>6</v>
      </c>
      <c r="D101" s="2"/>
      <c r="E101" s="2"/>
      <c r="F101" s="2"/>
      <c r="G101" s="2"/>
    </row>
    <row r="102" spans="3:7">
      <c r="C102" s="75" t="s">
        <v>335</v>
      </c>
      <c r="D102" s="75"/>
      <c r="E102" s="75"/>
      <c r="F102" s="75"/>
      <c r="G102" s="2"/>
    </row>
    <row r="103" spans="3:7" ht="15" thickBot="1">
      <c r="C103" s="7"/>
      <c r="D103" s="7"/>
      <c r="E103" s="7"/>
      <c r="F103" s="7"/>
      <c r="G103" s="7"/>
    </row>
    <row r="105" spans="3:7">
      <c r="C105" s="6" t="s">
        <v>336</v>
      </c>
      <c r="D105" s="50" t="s">
        <v>337</v>
      </c>
      <c r="E105" s="2"/>
      <c r="F105" s="2"/>
      <c r="G105" s="2"/>
    </row>
    <row r="106" spans="3:7" ht="43.5" customHeight="1">
      <c r="C106" s="75" t="s">
        <v>338</v>
      </c>
      <c r="D106" s="75"/>
      <c r="E106" s="75"/>
      <c r="F106" s="75"/>
      <c r="G106" s="2"/>
    </row>
    <row r="107" spans="3:7">
      <c r="C107" s="2"/>
      <c r="D107" s="2"/>
      <c r="E107" s="2"/>
      <c r="F107" s="2"/>
      <c r="G107" s="2"/>
    </row>
    <row r="108" spans="3:7" ht="29">
      <c r="C108" s="4" t="s">
        <v>340</v>
      </c>
      <c r="D108" s="4" t="s">
        <v>341</v>
      </c>
      <c r="E108" s="4" t="s">
        <v>342</v>
      </c>
      <c r="G108" s="1"/>
    </row>
    <row r="109" spans="3:7">
      <c r="C109" s="68">
        <v>43</v>
      </c>
      <c r="D109" s="59">
        <v>30</v>
      </c>
      <c r="E109" s="46">
        <f>C109/D109</f>
        <v>1.4333333333333333</v>
      </c>
      <c r="F109" s="45"/>
      <c r="G109" s="36"/>
    </row>
    <row r="110" spans="3:7" ht="29">
      <c r="C110" s="4" t="s">
        <v>344</v>
      </c>
      <c r="D110" s="4" t="s">
        <v>345</v>
      </c>
      <c r="E110" s="4" t="s">
        <v>343</v>
      </c>
      <c r="G110" s="36"/>
    </row>
    <row r="111" spans="3:7">
      <c r="C111" s="68">
        <v>74</v>
      </c>
      <c r="D111" s="59">
        <v>82</v>
      </c>
      <c r="E111" s="46">
        <f>C111/D111</f>
        <v>0.90243902439024393</v>
      </c>
      <c r="G111" s="36"/>
    </row>
    <row r="112" spans="3:7">
      <c r="C112" s="3"/>
      <c r="D112" s="2"/>
      <c r="E112" s="2"/>
      <c r="F112" s="2"/>
      <c r="G112" s="2"/>
    </row>
    <row r="113" spans="3:7">
      <c r="C113" s="2" t="s">
        <v>6</v>
      </c>
      <c r="D113" s="2"/>
      <c r="E113" s="2"/>
      <c r="F113" s="2"/>
      <c r="G113" s="2"/>
    </row>
    <row r="114" spans="3:7" ht="31.5" customHeight="1">
      <c r="C114" s="75" t="s">
        <v>339</v>
      </c>
      <c r="D114" s="75"/>
      <c r="E114" s="75"/>
      <c r="F114" s="75"/>
      <c r="G114" s="2"/>
    </row>
    <row r="115" spans="3:7" ht="15" thickBot="1">
      <c r="C115" s="7"/>
      <c r="D115" s="7"/>
      <c r="E115" s="7"/>
      <c r="F115" s="7"/>
      <c r="G115" s="7"/>
    </row>
    <row r="116" spans="3:7">
      <c r="C116" s="2"/>
      <c r="D116" s="2"/>
      <c r="E116" s="2"/>
      <c r="F116" s="2"/>
      <c r="G116" s="2"/>
    </row>
    <row r="117" spans="3:7">
      <c r="C117" s="6" t="s">
        <v>363</v>
      </c>
      <c r="D117" s="50" t="s">
        <v>364</v>
      </c>
      <c r="E117" s="2"/>
      <c r="F117" s="2"/>
      <c r="G117" s="2"/>
    </row>
    <row r="118" spans="3:7" ht="52.5" customHeight="1">
      <c r="C118" s="75" t="s">
        <v>365</v>
      </c>
      <c r="D118" s="75"/>
      <c r="E118" s="75"/>
      <c r="F118" s="75"/>
      <c r="G118" s="2"/>
    </row>
    <row r="119" spans="3:7">
      <c r="C119" s="2"/>
      <c r="D119" s="2"/>
      <c r="E119" s="2"/>
      <c r="F119" s="2"/>
      <c r="G119" s="2"/>
    </row>
    <row r="120" spans="3:7">
      <c r="C120" s="4" t="s">
        <v>50</v>
      </c>
      <c r="D120" s="2"/>
      <c r="E120" s="2"/>
      <c r="F120" s="2"/>
      <c r="G120" s="2"/>
    </row>
    <row r="121" spans="3:7">
      <c r="C121" s="57" t="s">
        <v>52</v>
      </c>
      <c r="D121" s="2"/>
      <c r="E121" s="2"/>
      <c r="F121" s="2"/>
      <c r="G121" s="2"/>
    </row>
    <row r="122" spans="3:7">
      <c r="C122" s="2"/>
      <c r="D122" s="2"/>
      <c r="E122" s="2"/>
      <c r="F122" s="2"/>
      <c r="G122" s="2"/>
    </row>
    <row r="123" spans="3:7">
      <c r="C123" s="2" t="s">
        <v>6</v>
      </c>
      <c r="D123" s="2"/>
      <c r="E123" s="2"/>
      <c r="F123" s="2"/>
      <c r="G123" s="2"/>
    </row>
    <row r="124" spans="3:7" ht="59.25" customHeight="1">
      <c r="C124" s="75" t="s">
        <v>366</v>
      </c>
      <c r="D124" s="75"/>
      <c r="E124" s="75"/>
      <c r="F124" s="75"/>
      <c r="G124" s="2"/>
    </row>
    <row r="125" spans="3:7" ht="15" thickBot="1">
      <c r="C125" s="7"/>
      <c r="D125" s="7"/>
      <c r="E125" s="7"/>
      <c r="F125" s="7"/>
      <c r="G125" s="7"/>
    </row>
    <row r="127" spans="3:7">
      <c r="C127" s="6" t="s">
        <v>376</v>
      </c>
      <c r="D127" s="50" t="s">
        <v>348</v>
      </c>
      <c r="E127" s="2"/>
      <c r="F127" s="2"/>
      <c r="G127" s="2"/>
    </row>
    <row r="128" spans="3:7" ht="94.5" customHeight="1">
      <c r="C128" s="75" t="s">
        <v>349</v>
      </c>
      <c r="D128" s="75"/>
      <c r="E128" s="75"/>
      <c r="F128" s="75"/>
      <c r="G128" s="2"/>
    </row>
    <row r="129" spans="3:7">
      <c r="C129" s="2"/>
      <c r="D129" s="2"/>
      <c r="E129" s="2"/>
      <c r="F129" s="2"/>
      <c r="G129" s="2"/>
    </row>
    <row r="130" spans="3:7">
      <c r="C130" s="4" t="s">
        <v>50</v>
      </c>
      <c r="D130" s="1"/>
      <c r="E130" s="1"/>
      <c r="F130" s="1"/>
      <c r="G130" s="2"/>
    </row>
    <row r="131" spans="3:7">
      <c r="C131" s="57" t="s">
        <v>51</v>
      </c>
      <c r="D131" s="22"/>
      <c r="E131" s="21"/>
      <c r="F131" s="10"/>
      <c r="G131" s="2"/>
    </row>
    <row r="132" spans="3:7">
      <c r="C132" s="2"/>
      <c r="D132" s="2"/>
      <c r="E132" s="2"/>
      <c r="F132" s="2"/>
      <c r="G132" s="2"/>
    </row>
    <row r="133" spans="3:7">
      <c r="C133" s="2" t="s">
        <v>6</v>
      </c>
      <c r="D133" s="2"/>
      <c r="E133" s="2"/>
      <c r="F133" s="2"/>
      <c r="G133" s="2"/>
    </row>
    <row r="134" spans="3:7" ht="144.75" customHeight="1">
      <c r="C134" s="75" t="s">
        <v>350</v>
      </c>
      <c r="D134" s="75"/>
      <c r="E134" s="75"/>
      <c r="F134" s="75"/>
      <c r="G134" s="2"/>
    </row>
    <row r="135" spans="3:7" ht="15" thickBot="1">
      <c r="C135" s="7"/>
      <c r="D135" s="7"/>
      <c r="E135" s="7"/>
      <c r="F135" s="7"/>
      <c r="G135" s="7"/>
    </row>
    <row r="137" spans="3:7">
      <c r="C137" s="6" t="s">
        <v>375</v>
      </c>
      <c r="D137" s="50" t="s">
        <v>351</v>
      </c>
      <c r="E137" s="2"/>
      <c r="F137" s="2"/>
    </row>
    <row r="138" spans="3:7" ht="24.75" customHeight="1">
      <c r="C138" s="75" t="s">
        <v>356</v>
      </c>
      <c r="D138" s="75"/>
      <c r="E138" s="75"/>
      <c r="F138" s="75"/>
    </row>
    <row r="140" spans="3:7" ht="43.5">
      <c r="C140" s="4" t="s">
        <v>352</v>
      </c>
      <c r="D140" s="4" t="s">
        <v>353</v>
      </c>
      <c r="E140" s="4" t="s">
        <v>354</v>
      </c>
    </row>
    <row r="141" spans="3:7">
      <c r="C141" s="60">
        <v>12</v>
      </c>
      <c r="D141" s="59">
        <v>8</v>
      </c>
      <c r="E141" s="53">
        <f>C141/D141</f>
        <v>1.5</v>
      </c>
    </row>
    <row r="143" spans="3:7">
      <c r="C143" s="2" t="s">
        <v>6</v>
      </c>
      <c r="D143" s="2"/>
      <c r="E143" s="2"/>
      <c r="F143" s="2"/>
      <c r="G143" s="2"/>
    </row>
    <row r="144" spans="3:7" ht="78.75" customHeight="1">
      <c r="C144" s="75" t="s">
        <v>355</v>
      </c>
      <c r="D144" s="75"/>
      <c r="E144" s="75"/>
      <c r="F144" s="75"/>
      <c r="G144" s="2"/>
    </row>
    <row r="145" spans="3:7" ht="15" thickBot="1">
      <c r="C145" s="7"/>
      <c r="D145" s="7"/>
      <c r="E145" s="7"/>
      <c r="F145" s="7"/>
      <c r="G145" s="7"/>
    </row>
    <row r="147" spans="3:7">
      <c r="C147" s="6" t="s">
        <v>358</v>
      </c>
      <c r="D147" s="50" t="s">
        <v>359</v>
      </c>
      <c r="E147" s="2"/>
      <c r="F147" s="2"/>
      <c r="G147" s="2"/>
    </row>
    <row r="148" spans="3:7" ht="42" customHeight="1">
      <c r="C148" s="75" t="s">
        <v>360</v>
      </c>
      <c r="D148" s="75"/>
      <c r="E148" s="75"/>
      <c r="F148" s="75"/>
      <c r="G148" s="2"/>
    </row>
    <row r="149" spans="3:7">
      <c r="C149" s="2"/>
      <c r="D149" s="2"/>
      <c r="E149" s="2"/>
      <c r="F149" s="2"/>
      <c r="G149" s="2"/>
    </row>
    <row r="150" spans="3:7" ht="29">
      <c r="C150" s="4" t="s">
        <v>361</v>
      </c>
      <c r="D150" s="4" t="s">
        <v>280</v>
      </c>
      <c r="G150" s="1"/>
    </row>
    <row r="151" spans="3:7">
      <c r="C151" s="60">
        <v>1</v>
      </c>
      <c r="D151" s="48">
        <f>(C151/8)</f>
        <v>0.125</v>
      </c>
      <c r="F151" s="45"/>
      <c r="G151" s="36"/>
    </row>
    <row r="152" spans="3:7">
      <c r="C152" s="3"/>
      <c r="D152" s="2"/>
      <c r="E152" s="2"/>
      <c r="F152" s="2"/>
      <c r="G152" s="2"/>
    </row>
    <row r="153" spans="3:7">
      <c r="C153" s="2" t="s">
        <v>6</v>
      </c>
      <c r="D153" s="2"/>
      <c r="E153" s="2"/>
      <c r="F153" s="2"/>
      <c r="G153" s="2"/>
    </row>
    <row r="154" spans="3:7" ht="130.5" customHeight="1">
      <c r="C154" s="75" t="s">
        <v>362</v>
      </c>
      <c r="D154" s="75"/>
      <c r="E154" s="75"/>
      <c r="F154" s="75"/>
      <c r="G154" s="2"/>
    </row>
    <row r="155" spans="3:7" ht="15" thickBot="1">
      <c r="C155" s="7"/>
      <c r="D155" s="7"/>
      <c r="E155" s="7"/>
      <c r="F155" s="7"/>
      <c r="G155" s="7"/>
    </row>
    <row r="157" spans="3:7">
      <c r="C157" s="6" t="s">
        <v>367</v>
      </c>
      <c r="D157" s="8" t="s">
        <v>368</v>
      </c>
      <c r="E157" s="2"/>
      <c r="F157" s="2"/>
      <c r="G157" s="2"/>
    </row>
    <row r="158" spans="3:7" ht="24" customHeight="1">
      <c r="C158" s="75" t="s">
        <v>369</v>
      </c>
      <c r="D158" s="75"/>
      <c r="E158" s="75"/>
      <c r="F158" s="75"/>
      <c r="G158" s="2"/>
    </row>
    <row r="159" spans="3:7">
      <c r="C159" s="2"/>
      <c r="D159" s="2"/>
      <c r="E159" s="2"/>
      <c r="F159" s="2"/>
      <c r="G159" s="2"/>
    </row>
    <row r="160" spans="3:7" ht="29">
      <c r="C160" s="4" t="s">
        <v>372</v>
      </c>
      <c r="D160" s="4" t="s">
        <v>373</v>
      </c>
      <c r="E160" s="4" t="s">
        <v>370</v>
      </c>
      <c r="F160" s="4" t="s">
        <v>281</v>
      </c>
    </row>
    <row r="161" spans="3:7">
      <c r="C161" s="66">
        <v>20</v>
      </c>
      <c r="D161" s="23">
        <f>D59</f>
        <v>71</v>
      </c>
      <c r="E161" s="60">
        <v>8</v>
      </c>
      <c r="F161" s="25">
        <f>(C161/D161)/E161</f>
        <v>3.5211267605633804E-2</v>
      </c>
      <c r="G161" s="36"/>
    </row>
    <row r="162" spans="3:7">
      <c r="C162" s="3"/>
      <c r="D162" s="2"/>
      <c r="E162" s="2"/>
      <c r="F162" s="2"/>
      <c r="G162" s="2"/>
    </row>
    <row r="163" spans="3:7">
      <c r="C163" s="2" t="s">
        <v>6</v>
      </c>
      <c r="D163" s="2"/>
      <c r="E163" s="2"/>
      <c r="F163" s="2"/>
      <c r="G163" s="2"/>
    </row>
    <row r="164" spans="3:7">
      <c r="C164" s="75" t="s">
        <v>371</v>
      </c>
      <c r="D164" s="75"/>
      <c r="E164" s="75"/>
      <c r="F164" s="75"/>
      <c r="G164" s="2"/>
    </row>
    <row r="165" spans="3:7" ht="15" thickBot="1">
      <c r="C165" s="7"/>
      <c r="D165" s="7"/>
      <c r="E165" s="7"/>
      <c r="F165" s="7"/>
      <c r="G165" s="7"/>
    </row>
    <row r="167" spans="3:7">
      <c r="C167" s="6" t="s">
        <v>374</v>
      </c>
      <c r="D167" s="50" t="s">
        <v>377</v>
      </c>
      <c r="E167" s="2"/>
      <c r="F167" s="2"/>
    </row>
    <row r="168" spans="3:7">
      <c r="C168" s="75" t="s">
        <v>130</v>
      </c>
      <c r="D168" s="75"/>
      <c r="E168" s="75"/>
      <c r="F168" s="75"/>
    </row>
    <row r="170" spans="3:7" ht="29">
      <c r="C170" s="4" t="s">
        <v>378</v>
      </c>
      <c r="D170" s="4" t="s">
        <v>373</v>
      </c>
      <c r="E170" s="4" t="s">
        <v>379</v>
      </c>
    </row>
    <row r="171" spans="3:7">
      <c r="C171" s="60">
        <v>25</v>
      </c>
      <c r="D171" s="38">
        <f>D59</f>
        <v>71</v>
      </c>
      <c r="E171" s="48">
        <f>C171/D171</f>
        <v>0.352112676056338</v>
      </c>
    </row>
    <row r="173" spans="3:7">
      <c r="C173" s="2" t="s">
        <v>6</v>
      </c>
      <c r="D173" s="2"/>
      <c r="E173" s="2"/>
      <c r="F173" s="2"/>
      <c r="G173" s="2"/>
    </row>
    <row r="174" spans="3:7">
      <c r="C174" s="75" t="s">
        <v>380</v>
      </c>
      <c r="D174" s="75"/>
      <c r="E174" s="75"/>
      <c r="F174" s="75"/>
      <c r="G174" s="2"/>
    </row>
    <row r="175" spans="3:7" ht="15" thickBot="1">
      <c r="C175" s="7"/>
      <c r="D175" s="7"/>
      <c r="E175" s="7"/>
      <c r="F175" s="7"/>
      <c r="G175" s="7"/>
    </row>
    <row r="177" spans="3:7">
      <c r="C177" s="6" t="s">
        <v>381</v>
      </c>
      <c r="D177" s="8" t="s">
        <v>382</v>
      </c>
      <c r="E177" s="2"/>
      <c r="F177" s="2"/>
      <c r="G177" s="2"/>
    </row>
    <row r="178" spans="3:7" ht="42.75" customHeight="1">
      <c r="C178" s="75" t="s">
        <v>383</v>
      </c>
      <c r="D178" s="75"/>
      <c r="E178" s="75"/>
      <c r="F178" s="75"/>
      <c r="G178" s="2"/>
    </row>
    <row r="179" spans="3:7">
      <c r="C179" s="2"/>
      <c r="D179" s="2"/>
      <c r="E179" s="2"/>
      <c r="F179" s="2"/>
      <c r="G179" s="2"/>
    </row>
    <row r="180" spans="3:7" ht="29">
      <c r="C180" s="4" t="s">
        <v>384</v>
      </c>
      <c r="D180" s="4" t="s">
        <v>385</v>
      </c>
      <c r="E180" s="4" t="s">
        <v>386</v>
      </c>
      <c r="F180" s="4" t="s">
        <v>387</v>
      </c>
    </row>
    <row r="181" spans="3:7">
      <c r="C181" s="56">
        <f>D89</f>
        <v>3</v>
      </c>
      <c r="D181" s="59">
        <v>20</v>
      </c>
      <c r="E181" s="60">
        <v>103</v>
      </c>
      <c r="F181" s="60">
        <v>300</v>
      </c>
      <c r="G181" s="36"/>
    </row>
    <row r="182" spans="3:7" ht="24" customHeight="1">
      <c r="C182" s="4" t="s">
        <v>388</v>
      </c>
      <c r="D182" s="4" t="s">
        <v>389</v>
      </c>
      <c r="E182" s="4" t="s">
        <v>390</v>
      </c>
      <c r="F182" s="52" t="s">
        <v>283</v>
      </c>
      <c r="G182" s="36"/>
    </row>
    <row r="183" spans="3:7">
      <c r="C183" s="59">
        <v>7</v>
      </c>
      <c r="D183" s="60">
        <v>1</v>
      </c>
      <c r="E183" s="56">
        <f>Governo!D45</f>
        <v>15520</v>
      </c>
      <c r="F183" s="42">
        <f>(C181+D181+(E181/C183)+(F181/D183))/E183</f>
        <v>2.1759941089837996E-2</v>
      </c>
      <c r="G183" s="36"/>
    </row>
    <row r="184" spans="3:7">
      <c r="C184" s="3"/>
      <c r="D184" s="2"/>
      <c r="E184" s="2"/>
      <c r="F184" s="2"/>
      <c r="G184" s="2"/>
    </row>
    <row r="185" spans="3:7">
      <c r="C185" s="2" t="s">
        <v>6</v>
      </c>
      <c r="D185" s="2"/>
      <c r="E185" s="2"/>
      <c r="F185" s="2"/>
      <c r="G185" s="2"/>
    </row>
    <row r="186" spans="3:7">
      <c r="C186" s="75" t="s">
        <v>391</v>
      </c>
      <c r="D186" s="75"/>
      <c r="E186" s="75"/>
      <c r="F186" s="75"/>
      <c r="G186" s="2"/>
    </row>
    <row r="187" spans="3:7" ht="15" thickBot="1">
      <c r="C187" s="7"/>
      <c r="D187" s="7"/>
      <c r="E187" s="7"/>
      <c r="F187" s="7"/>
      <c r="G187" s="7"/>
    </row>
    <row r="189" spans="3:7">
      <c r="C189" s="6" t="s">
        <v>392</v>
      </c>
      <c r="D189" s="8" t="s">
        <v>393</v>
      </c>
      <c r="E189" s="2"/>
      <c r="F189" s="2"/>
      <c r="G189" s="2"/>
    </row>
    <row r="190" spans="3:7" ht="36.75" customHeight="1">
      <c r="C190" s="75" t="s">
        <v>394</v>
      </c>
      <c r="D190" s="75"/>
      <c r="E190" s="75"/>
      <c r="F190" s="75"/>
      <c r="G190" s="2"/>
    </row>
    <row r="191" spans="3:7">
      <c r="C191" s="2"/>
      <c r="D191" s="2"/>
      <c r="E191" s="2"/>
      <c r="F191" s="2"/>
      <c r="G191" s="2"/>
    </row>
    <row r="192" spans="3:7" ht="29">
      <c r="C192" s="4" t="s">
        <v>395</v>
      </c>
      <c r="D192" s="4" t="s">
        <v>320</v>
      </c>
      <c r="E192" s="4" t="s">
        <v>396</v>
      </c>
      <c r="F192" s="4" t="s">
        <v>284</v>
      </c>
    </row>
    <row r="193" spans="3:7">
      <c r="C193" s="66">
        <v>10600</v>
      </c>
      <c r="D193" s="23">
        <f>F69</f>
        <v>60</v>
      </c>
      <c r="E193" s="60">
        <f>21*12</f>
        <v>252</v>
      </c>
      <c r="F193" s="25">
        <f>C193/(D193*E193)</f>
        <v>0.70105820105820105</v>
      </c>
      <c r="G193" s="36"/>
    </row>
    <row r="194" spans="3:7">
      <c r="C194" s="3"/>
      <c r="D194" s="2"/>
      <c r="E194" s="2"/>
      <c r="F194" s="2"/>
      <c r="G194" s="2"/>
    </row>
    <row r="195" spans="3:7">
      <c r="C195" s="2" t="s">
        <v>6</v>
      </c>
      <c r="D195" s="2"/>
      <c r="E195" s="2"/>
      <c r="F195" s="2"/>
      <c r="G195" s="2"/>
    </row>
    <row r="196" spans="3:7">
      <c r="C196" s="75" t="s">
        <v>371</v>
      </c>
      <c r="D196" s="75"/>
      <c r="E196" s="75"/>
      <c r="F196" s="75"/>
      <c r="G196" s="2"/>
    </row>
    <row r="197" spans="3:7" ht="15" thickBot="1">
      <c r="C197" s="7"/>
      <c r="D197" s="7"/>
      <c r="E197" s="7"/>
      <c r="F197" s="7"/>
      <c r="G197" s="7"/>
    </row>
    <row r="199" spans="3:7">
      <c r="C199" s="6" t="s">
        <v>403</v>
      </c>
      <c r="D199" s="8" t="s">
        <v>404</v>
      </c>
      <c r="E199" s="2"/>
      <c r="F199" s="2"/>
      <c r="G199" s="2"/>
    </row>
    <row r="200" spans="3:7" ht="51" customHeight="1">
      <c r="C200" s="75" t="s">
        <v>405</v>
      </c>
      <c r="D200" s="75"/>
      <c r="E200" s="75"/>
      <c r="F200" s="75"/>
      <c r="G200" s="2"/>
    </row>
    <row r="201" spans="3:7">
      <c r="C201" s="2"/>
      <c r="D201" s="2"/>
      <c r="E201" s="2"/>
      <c r="F201" s="2"/>
      <c r="G201" s="2"/>
    </row>
    <row r="202" spans="3:7" ht="29">
      <c r="C202" s="4" t="s">
        <v>406</v>
      </c>
      <c r="D202" s="4" t="s">
        <v>320</v>
      </c>
      <c r="E202" s="4" t="s">
        <v>396</v>
      </c>
      <c r="F202" s="4" t="s">
        <v>285</v>
      </c>
    </row>
    <row r="203" spans="3:7">
      <c r="C203" s="66">
        <v>120</v>
      </c>
      <c r="D203" s="23">
        <f>F69</f>
        <v>60</v>
      </c>
      <c r="E203" s="56">
        <f>E193</f>
        <v>252</v>
      </c>
      <c r="F203" s="25">
        <f>C203/(D203*E203)</f>
        <v>7.9365079365079361E-3</v>
      </c>
      <c r="G203" s="36"/>
    </row>
    <row r="204" spans="3:7">
      <c r="C204" s="3"/>
      <c r="D204" s="2"/>
      <c r="E204" s="2"/>
      <c r="F204" s="2"/>
      <c r="G204" s="2"/>
    </row>
    <row r="205" spans="3:7">
      <c r="C205" s="2" t="s">
        <v>6</v>
      </c>
      <c r="D205" s="2"/>
      <c r="E205" s="2"/>
      <c r="F205" s="2"/>
      <c r="G205" s="2"/>
    </row>
    <row r="206" spans="3:7">
      <c r="C206" s="75" t="s">
        <v>371</v>
      </c>
      <c r="D206" s="75"/>
      <c r="E206" s="75"/>
      <c r="F206" s="75"/>
      <c r="G206" s="2"/>
    </row>
    <row r="207" spans="3:7" ht="15" thickBot="1">
      <c r="C207" s="7"/>
      <c r="D207" s="7"/>
      <c r="E207" s="7"/>
      <c r="F207" s="7"/>
      <c r="G207" s="7"/>
    </row>
    <row r="209" spans="3:7">
      <c r="C209" s="6" t="s">
        <v>407</v>
      </c>
      <c r="D209" s="8" t="s">
        <v>408</v>
      </c>
      <c r="E209" s="2"/>
      <c r="F209" s="2"/>
      <c r="G209" s="2"/>
    </row>
    <row r="210" spans="3:7" ht="61.5" customHeight="1">
      <c r="C210" s="75" t="s">
        <v>409</v>
      </c>
      <c r="D210" s="75"/>
      <c r="E210" s="75"/>
      <c r="F210" s="75"/>
      <c r="G210" s="2"/>
    </row>
    <row r="211" spans="3:7">
      <c r="C211" s="2"/>
      <c r="D211" s="2"/>
      <c r="E211" s="2"/>
      <c r="F211" s="2"/>
      <c r="G211" s="2"/>
    </row>
    <row r="212" spans="3:7" ht="29">
      <c r="C212" s="4" t="s">
        <v>410</v>
      </c>
      <c r="D212" s="4" t="s">
        <v>411</v>
      </c>
      <c r="E212" s="4" t="s">
        <v>286</v>
      </c>
    </row>
    <row r="213" spans="3:7">
      <c r="C213" s="66">
        <v>45</v>
      </c>
      <c r="D213" s="67">
        <v>60</v>
      </c>
      <c r="E213" s="25">
        <f>C213/D213</f>
        <v>0.75</v>
      </c>
      <c r="G213" s="36"/>
    </row>
    <row r="214" spans="3:7">
      <c r="C214" s="3"/>
      <c r="D214" s="2"/>
      <c r="E214" s="2"/>
      <c r="F214" s="2"/>
      <c r="G214" s="2"/>
    </row>
    <row r="215" spans="3:7">
      <c r="C215" s="2" t="s">
        <v>6</v>
      </c>
      <c r="D215" s="2"/>
      <c r="E215" s="2"/>
      <c r="F215" s="2"/>
      <c r="G215" s="2"/>
    </row>
    <row r="216" spans="3:7">
      <c r="C216" s="75" t="s">
        <v>371</v>
      </c>
      <c r="D216" s="75"/>
      <c r="E216" s="75"/>
      <c r="F216" s="75"/>
      <c r="G216" s="2"/>
    </row>
    <row r="217" spans="3:7" ht="15" thickBot="1">
      <c r="C217" s="7"/>
      <c r="D217" s="7"/>
      <c r="E217" s="7"/>
      <c r="F217" s="7"/>
      <c r="G217" s="7"/>
    </row>
    <row r="219" spans="3:7">
      <c r="C219" s="6" t="s">
        <v>412</v>
      </c>
      <c r="D219" s="8" t="s">
        <v>413</v>
      </c>
      <c r="E219" s="2"/>
      <c r="F219" s="2"/>
      <c r="G219" s="2"/>
    </row>
    <row r="220" spans="3:7" ht="68.25" customHeight="1">
      <c r="C220" s="75" t="s">
        <v>414</v>
      </c>
      <c r="D220" s="75"/>
      <c r="E220" s="75"/>
      <c r="F220" s="75"/>
      <c r="G220" s="2"/>
    </row>
    <row r="221" spans="3:7">
      <c r="C221" s="2"/>
      <c r="D221" s="2"/>
      <c r="E221" s="2"/>
      <c r="F221" s="2"/>
      <c r="G221" s="2"/>
    </row>
    <row r="222" spans="3:7" ht="43.5">
      <c r="C222" s="4" t="s">
        <v>415</v>
      </c>
      <c r="D222" s="4" t="s">
        <v>416</v>
      </c>
      <c r="E222" s="4" t="s">
        <v>417</v>
      </c>
      <c r="F222" s="4" t="s">
        <v>287</v>
      </c>
    </row>
    <row r="223" spans="3:7">
      <c r="C223" s="66">
        <v>2</v>
      </c>
      <c r="D223" s="67">
        <v>3</v>
      </c>
      <c r="E223" s="60">
        <v>702</v>
      </c>
      <c r="F223" s="25">
        <f>(C223+D223)/(E223/12)*100</f>
        <v>8.5470085470085468</v>
      </c>
      <c r="G223" s="36"/>
    </row>
    <row r="224" spans="3:7">
      <c r="C224" s="3"/>
      <c r="D224" s="2"/>
      <c r="E224" s="2"/>
      <c r="F224" s="2"/>
      <c r="G224" s="2"/>
    </row>
    <row r="225" spans="3:7">
      <c r="C225" s="2" t="s">
        <v>6</v>
      </c>
      <c r="D225" s="2"/>
      <c r="E225" s="2"/>
      <c r="F225" s="2"/>
      <c r="G225" s="2"/>
    </row>
    <row r="226" spans="3:7">
      <c r="C226" s="75" t="s">
        <v>371</v>
      </c>
      <c r="D226" s="75"/>
      <c r="E226" s="75"/>
      <c r="F226" s="75"/>
      <c r="G226" s="2"/>
    </row>
    <row r="227" spans="3:7" ht="15" thickBot="1">
      <c r="C227" s="7"/>
      <c r="D227" s="7"/>
      <c r="E227" s="7"/>
      <c r="F227" s="7"/>
      <c r="G227" s="7"/>
    </row>
    <row r="229" spans="3:7">
      <c r="C229" s="6" t="s">
        <v>418</v>
      </c>
      <c r="D229" s="8" t="s">
        <v>419</v>
      </c>
      <c r="E229" s="2"/>
      <c r="F229" s="2"/>
      <c r="G229" s="2"/>
    </row>
    <row r="230" spans="3:7" ht="19.5" customHeight="1">
      <c r="C230" s="75" t="s">
        <v>421</v>
      </c>
      <c r="D230" s="75"/>
      <c r="E230" s="75"/>
      <c r="F230" s="75"/>
      <c r="G230" s="2"/>
    </row>
    <row r="231" spans="3:7">
      <c r="C231" s="2"/>
      <c r="D231" s="2"/>
      <c r="E231" s="2"/>
      <c r="F231" s="2"/>
      <c r="G231" s="2"/>
    </row>
    <row r="232" spans="3:7" ht="29">
      <c r="C232" s="4" t="s">
        <v>420</v>
      </c>
      <c r="D232" s="4" t="s">
        <v>320</v>
      </c>
      <c r="E232" s="4" t="s">
        <v>396</v>
      </c>
      <c r="F232" s="4" t="s">
        <v>288</v>
      </c>
    </row>
    <row r="233" spans="3:7">
      <c r="C233" s="66">
        <v>40</v>
      </c>
      <c r="D233" s="23">
        <f>F69</f>
        <v>60</v>
      </c>
      <c r="E233" s="56">
        <f>E193</f>
        <v>252</v>
      </c>
      <c r="F233" s="25">
        <f>C233/(D233*E233)</f>
        <v>2.6455026455026454E-3</v>
      </c>
      <c r="G233" s="36"/>
    </row>
    <row r="234" spans="3:7">
      <c r="C234" s="3"/>
      <c r="D234" s="2"/>
      <c r="E234" s="2"/>
      <c r="F234" s="2"/>
      <c r="G234" s="2"/>
    </row>
    <row r="235" spans="3:7">
      <c r="C235" s="2" t="s">
        <v>6</v>
      </c>
      <c r="D235" s="2"/>
      <c r="E235" s="2"/>
      <c r="F235" s="2"/>
      <c r="G235" s="2"/>
    </row>
    <row r="236" spans="3:7">
      <c r="C236" s="75" t="s">
        <v>371</v>
      </c>
      <c r="D236" s="75"/>
      <c r="E236" s="75"/>
      <c r="F236" s="75"/>
      <c r="G236" s="2"/>
    </row>
    <row r="237" spans="3:7" ht="15" thickBot="1">
      <c r="C237" s="7"/>
      <c r="D237" s="7"/>
      <c r="E237" s="7"/>
      <c r="F237" s="7"/>
      <c r="G237" s="7"/>
    </row>
  </sheetData>
  <sheetProtection password="C97A" sheet="1" objects="1" scenarios="1"/>
  <mergeCells count="48">
    <mergeCell ref="C190:F190"/>
    <mergeCell ref="C196:F196"/>
    <mergeCell ref="C168:F168"/>
    <mergeCell ref="C174:F174"/>
    <mergeCell ref="C178:F178"/>
    <mergeCell ref="C186:F186"/>
    <mergeCell ref="C92:F92"/>
    <mergeCell ref="C96:F96"/>
    <mergeCell ref="C102:F102"/>
    <mergeCell ref="C106:F106"/>
    <mergeCell ref="C114:F114"/>
    <mergeCell ref="C66:F66"/>
    <mergeCell ref="C72:F72"/>
    <mergeCell ref="C76:F76"/>
    <mergeCell ref="C82:F82"/>
    <mergeCell ref="C86:F86"/>
    <mergeCell ref="A1:G1"/>
    <mergeCell ref="C4:F4"/>
    <mergeCell ref="C10:F10"/>
    <mergeCell ref="C14:F14"/>
    <mergeCell ref="C22:F22"/>
    <mergeCell ref="F17:F19"/>
    <mergeCell ref="C46:F46"/>
    <mergeCell ref="C52:F52"/>
    <mergeCell ref="C56:F56"/>
    <mergeCell ref="C62:F62"/>
    <mergeCell ref="C26:F26"/>
    <mergeCell ref="C32:F32"/>
    <mergeCell ref="C36:F36"/>
    <mergeCell ref="C42:F42"/>
    <mergeCell ref="C164:F164"/>
    <mergeCell ref="C118:F118"/>
    <mergeCell ref="C124:F124"/>
    <mergeCell ref="C138:F138"/>
    <mergeCell ref="C144:F144"/>
    <mergeCell ref="C148:F148"/>
    <mergeCell ref="C154:F154"/>
    <mergeCell ref="C158:F158"/>
    <mergeCell ref="C128:F128"/>
    <mergeCell ref="C134:F134"/>
    <mergeCell ref="C226:F226"/>
    <mergeCell ref="C230:F230"/>
    <mergeCell ref="C236:F236"/>
    <mergeCell ref="C200:F200"/>
    <mergeCell ref="C206:F206"/>
    <mergeCell ref="C210:F210"/>
    <mergeCell ref="C216:F216"/>
    <mergeCell ref="C220:F220"/>
  </mergeCells>
  <pageMargins left="0.38" right="0.44" top="0.74803149606299213" bottom="0.46" header="0.31496062992125984" footer="0.19"/>
  <pageSetup paperSize="9" orientation="landscape" r:id="rId1"/>
  <headerFooter>
    <oddHeader>&amp;LUNI/PdR 5:2013&amp;RIndicatori dei processi di supporto</oddHeader>
  </headerFooter>
  <rowBreaks count="11" manualBreakCount="11">
    <brk id="44" max="16383" man="1"/>
    <brk id="64" max="16383" man="1"/>
    <brk id="84" max="16383" man="1"/>
    <brk id="104" max="16383" man="1"/>
    <brk id="126" max="16383" man="1"/>
    <brk id="136" max="16383" man="1"/>
    <brk id="146" max="16383" man="1"/>
    <brk id="166" max="16383" man="1"/>
    <brk id="188" max="16383" man="1"/>
    <brk id="208" max="16383" man="1"/>
    <brk id="228"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  '!$B$3:$B$4</xm:f>
          </x14:formula1>
          <xm:sqref>C131 C121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2:D69"/>
  <sheetViews>
    <sheetView workbookViewId="0">
      <selection activeCell="F24" sqref="F24"/>
    </sheetView>
  </sheetViews>
  <sheetFormatPr defaultRowHeight="14.5"/>
  <cols>
    <col min="1" max="1" width="7.26953125" style="14" customWidth="1"/>
    <col min="2" max="2" width="15.81640625" customWidth="1"/>
    <col min="3" max="3" width="7.1796875" customWidth="1"/>
    <col min="4" max="4" width="3.1796875" customWidth="1"/>
  </cols>
  <sheetData>
    <row r="2" spans="1:4" s="9" customFormat="1">
      <c r="A2" s="9" t="s">
        <v>16</v>
      </c>
      <c r="B2" s="9" t="s">
        <v>41</v>
      </c>
    </row>
    <row r="3" spans="1:4">
      <c r="A3" s="15" t="s">
        <v>13</v>
      </c>
      <c r="B3" s="16">
        <f>Governo!F7</f>
        <v>0.80856126288358032</v>
      </c>
    </row>
    <row r="4" spans="1:4">
      <c r="A4" s="15" t="s">
        <v>14</v>
      </c>
      <c r="B4" s="16">
        <f>Governo!G17</f>
        <v>0.9</v>
      </c>
    </row>
    <row r="5" spans="1:4">
      <c r="A5" s="17" t="s">
        <v>15</v>
      </c>
      <c r="B5" s="16" t="str">
        <f>Governo!E28</f>
        <v>&gt;1</v>
      </c>
      <c r="C5" s="13" t="s">
        <v>29</v>
      </c>
      <c r="D5" s="93" t="s">
        <v>34</v>
      </c>
    </row>
    <row r="6" spans="1:4">
      <c r="A6" s="18"/>
      <c r="B6" s="16" t="str">
        <f>Governo!E29</f>
        <v>&lt;1</v>
      </c>
      <c r="C6" s="13" t="s">
        <v>30</v>
      </c>
      <c r="D6" s="93"/>
    </row>
    <row r="7" spans="1:4">
      <c r="A7" s="18"/>
      <c r="B7" s="16" t="str">
        <f>Governo!E30</f>
        <v>&gt;1</v>
      </c>
      <c r="C7" s="13" t="s">
        <v>31</v>
      </c>
      <c r="D7" s="93"/>
    </row>
    <row r="8" spans="1:4">
      <c r="A8" s="18"/>
      <c r="B8" s="16" t="str">
        <f>Governo!E31</f>
        <v>=1</v>
      </c>
      <c r="C8" s="13" t="s">
        <v>32</v>
      </c>
      <c r="D8" s="93"/>
    </row>
    <row r="9" spans="1:4">
      <c r="A9" s="18"/>
      <c r="B9" s="16" t="str">
        <f>Governo!E32</f>
        <v>&gt;1</v>
      </c>
      <c r="C9" s="13" t="s">
        <v>33</v>
      </c>
      <c r="D9" s="93"/>
    </row>
    <row r="10" spans="1:4">
      <c r="A10" s="18"/>
      <c r="B10" s="16" t="str">
        <f>Governo!E33</f>
        <v>&lt;1</v>
      </c>
      <c r="C10" s="13" t="s">
        <v>29</v>
      </c>
      <c r="D10" s="93" t="s">
        <v>36</v>
      </c>
    </row>
    <row r="11" spans="1:4">
      <c r="A11" s="18"/>
      <c r="B11" s="16" t="str">
        <f>Governo!E34</f>
        <v>=1</v>
      </c>
      <c r="C11" s="13" t="s">
        <v>30</v>
      </c>
      <c r="D11" s="93"/>
    </row>
    <row r="12" spans="1:4">
      <c r="A12" s="19"/>
      <c r="B12" s="16" t="str">
        <f>Governo!E35</f>
        <v>&gt;1</v>
      </c>
      <c r="C12" s="13" t="s">
        <v>31</v>
      </c>
      <c r="D12" s="93"/>
    </row>
    <row r="13" spans="1:4">
      <c r="A13" s="15" t="s">
        <v>17</v>
      </c>
      <c r="B13" s="20">
        <f>Governo!E45</f>
        <v>126.28865979381443</v>
      </c>
    </row>
    <row r="14" spans="1:4">
      <c r="A14" s="15" t="s">
        <v>18</v>
      </c>
      <c r="B14" s="20">
        <f>Governo!E55</f>
        <v>559.50782087628875</v>
      </c>
    </row>
    <row r="15" spans="1:4">
      <c r="A15" s="15" t="s">
        <v>19</v>
      </c>
      <c r="B15" s="15" t="str">
        <f>Indicatore_on_off</f>
        <v>SI</v>
      </c>
    </row>
    <row r="16" spans="1:4">
      <c r="A16" s="15" t="s">
        <v>20</v>
      </c>
      <c r="B16" s="15">
        <f>Governo!C75</f>
        <v>5</v>
      </c>
    </row>
    <row r="17" spans="1:4">
      <c r="A17" s="15" t="s">
        <v>21</v>
      </c>
      <c r="B17" s="24">
        <f>Governo!D85</f>
        <v>0.66666666666666663</v>
      </c>
    </row>
    <row r="18" spans="1:4">
      <c r="A18" s="15" t="s">
        <v>22</v>
      </c>
      <c r="B18" s="27">
        <f>Governo!E95</f>
        <v>0.5</v>
      </c>
    </row>
    <row r="19" spans="1:4">
      <c r="A19" s="15" t="s">
        <v>23</v>
      </c>
      <c r="B19" s="16" t="str">
        <f>Governo!E105</f>
        <v>&lt;1</v>
      </c>
    </row>
    <row r="20" spans="1:4">
      <c r="A20" s="17" t="s">
        <v>24</v>
      </c>
      <c r="B20" s="27">
        <f>Governo!E115</f>
        <v>0.25</v>
      </c>
    </row>
    <row r="21" spans="1:4">
      <c r="A21" s="15" t="s">
        <v>87</v>
      </c>
      <c r="B21" s="24">
        <f>Operativi!G7</f>
        <v>11.5</v>
      </c>
      <c r="C21" s="3"/>
      <c r="D21" s="3"/>
    </row>
    <row r="22" spans="1:4">
      <c r="A22" s="19" t="s">
        <v>88</v>
      </c>
      <c r="B22" s="24">
        <f>Operativi!G20</f>
        <v>3.6666666666666665</v>
      </c>
    </row>
    <row r="23" spans="1:4">
      <c r="A23" s="15" t="s">
        <v>89</v>
      </c>
      <c r="B23" s="27">
        <f>Operativi!E32</f>
        <v>0.1851851851851852</v>
      </c>
    </row>
    <row r="24" spans="1:4">
      <c r="A24" s="15" t="s">
        <v>90</v>
      </c>
      <c r="B24" s="27">
        <f>Operativi!E42</f>
        <v>0.8</v>
      </c>
    </row>
    <row r="25" spans="1:4">
      <c r="A25" s="15" t="s">
        <v>91</v>
      </c>
      <c r="B25" s="30">
        <f>Operativi!E52</f>
        <v>33.333333333333336</v>
      </c>
    </row>
    <row r="26" spans="1:4">
      <c r="A26" s="15" t="s">
        <v>92</v>
      </c>
      <c r="B26" s="30">
        <f>Operativi!E62</f>
        <v>4</v>
      </c>
    </row>
    <row r="27" spans="1:4">
      <c r="A27" s="15" t="s">
        <v>93</v>
      </c>
      <c r="B27" s="15">
        <f>Operativi!F72</f>
        <v>0.9</v>
      </c>
    </row>
    <row r="28" spans="1:4">
      <c r="A28" s="15" t="s">
        <v>94</v>
      </c>
      <c r="B28" s="15">
        <f>Operativi!F82</f>
        <v>3</v>
      </c>
    </row>
    <row r="29" spans="1:4">
      <c r="A29" s="15" t="s">
        <v>95</v>
      </c>
      <c r="B29" s="27">
        <f>Operativi!E92</f>
        <v>0.9</v>
      </c>
    </row>
    <row r="30" spans="1:4">
      <c r="A30" s="15" t="s">
        <v>96</v>
      </c>
      <c r="B30" s="27">
        <f>Operativi!E102</f>
        <v>0.9375</v>
      </c>
    </row>
    <row r="31" spans="1:4">
      <c r="A31" s="15" t="s">
        <v>97</v>
      </c>
      <c r="B31" s="27">
        <f>Operativi!E112</f>
        <v>1</v>
      </c>
    </row>
    <row r="32" spans="1:4">
      <c r="A32" s="15" t="s">
        <v>98</v>
      </c>
      <c r="B32" s="30">
        <f>Operativi!E122</f>
        <v>3</v>
      </c>
    </row>
    <row r="33" spans="1:2">
      <c r="A33" s="15" t="s">
        <v>99</v>
      </c>
      <c r="B33" s="27">
        <f>Operativi!E132</f>
        <v>0.9606986899563319</v>
      </c>
    </row>
    <row r="34" spans="1:2">
      <c r="A34" s="15" t="s">
        <v>100</v>
      </c>
      <c r="B34" s="40">
        <f>Operativi!E142</f>
        <v>2.577319587628866E-4</v>
      </c>
    </row>
    <row r="35" spans="1:2">
      <c r="A35" s="15" t="s">
        <v>101</v>
      </c>
      <c r="B35" s="40">
        <f>Operativi!E152</f>
        <v>2.577319587628866E-4</v>
      </c>
    </row>
    <row r="36" spans="1:2">
      <c r="A36" s="15" t="s">
        <v>102</v>
      </c>
      <c r="B36" s="41">
        <f>Operativi!E162</f>
        <v>0.51546391752577325</v>
      </c>
    </row>
    <row r="37" spans="1:2">
      <c r="A37" s="15" t="s">
        <v>103</v>
      </c>
      <c r="B37" s="24">
        <f>Operativi!F172</f>
        <v>20.333333333333332</v>
      </c>
    </row>
    <row r="38" spans="1:2">
      <c r="A38" s="15" t="s">
        <v>104</v>
      </c>
      <c r="B38" s="40">
        <f>Operativi!E182</f>
        <v>9.6649484536082478E-4</v>
      </c>
    </row>
    <row r="39" spans="1:2">
      <c r="A39" s="15" t="s">
        <v>105</v>
      </c>
      <c r="B39" s="27">
        <f>Operativi!E192</f>
        <v>0.8</v>
      </c>
    </row>
    <row r="40" spans="1:2">
      <c r="A40" s="15" t="s">
        <v>106</v>
      </c>
      <c r="B40" s="27">
        <f>Operativi!E202</f>
        <v>0.75714285714285712</v>
      </c>
    </row>
    <row r="41" spans="1:2">
      <c r="A41" s="15" t="s">
        <v>107</v>
      </c>
      <c r="B41" s="27">
        <f>Operativi!E212</f>
        <v>0.88</v>
      </c>
    </row>
    <row r="42" spans="1:2">
      <c r="A42" s="15" t="s">
        <v>108</v>
      </c>
      <c r="B42" s="27">
        <f>Operativi!E222</f>
        <v>0.1</v>
      </c>
    </row>
    <row r="43" spans="1:2">
      <c r="A43" s="15" t="s">
        <v>109</v>
      </c>
      <c r="B43" s="30" t="str">
        <f>Operativi!E232</f>
        <v>F</v>
      </c>
    </row>
    <row r="44" spans="1:2">
      <c r="A44" s="15" t="s">
        <v>110</v>
      </c>
      <c r="B44" s="44" t="str">
        <f>Operativi!F246</f>
        <v>&gt;1</v>
      </c>
    </row>
    <row r="45" spans="1:2">
      <c r="A45" s="15" t="s">
        <v>111</v>
      </c>
      <c r="B45" s="15" t="s">
        <v>249</v>
      </c>
    </row>
    <row r="46" spans="1:2">
      <c r="A46" s="15" t="s">
        <v>260</v>
      </c>
      <c r="B46" s="30">
        <f>Supporto!G7</f>
        <v>11.427184466019417</v>
      </c>
    </row>
    <row r="47" spans="1:2">
      <c r="A47" s="15" t="s">
        <v>263</v>
      </c>
      <c r="B47" s="30">
        <f>Supporto!F17</f>
        <v>1.5533980582524272</v>
      </c>
    </row>
    <row r="48" spans="1:2">
      <c r="A48" s="15" t="s">
        <v>269</v>
      </c>
      <c r="B48" s="49">
        <f>Supporto!E29</f>
        <v>0.95398787647367667</v>
      </c>
    </row>
    <row r="49" spans="1:2">
      <c r="A49" s="15" t="s">
        <v>270</v>
      </c>
      <c r="B49" s="49">
        <f>Supporto!E39</f>
        <v>0.80095940431015966</v>
      </c>
    </row>
    <row r="50" spans="1:2">
      <c r="A50" s="15" t="s">
        <v>271</v>
      </c>
      <c r="B50" s="27">
        <f>Supporto!E49</f>
        <v>1.1019283746556474E-2</v>
      </c>
    </row>
    <row r="51" spans="1:2">
      <c r="A51" s="15" t="s">
        <v>272</v>
      </c>
      <c r="B51" s="27">
        <f>Supporto!E59</f>
        <v>2.8169014084507043E-2</v>
      </c>
    </row>
    <row r="52" spans="1:2">
      <c r="A52" s="15" t="s">
        <v>273</v>
      </c>
      <c r="B52" s="27">
        <f>Supporto!G69</f>
        <v>1.1666666666666667</v>
      </c>
    </row>
    <row r="53" spans="1:2">
      <c r="A53" s="15" t="s">
        <v>274</v>
      </c>
      <c r="B53" s="27">
        <f>Supporto!E79</f>
        <v>1</v>
      </c>
    </row>
    <row r="54" spans="1:2">
      <c r="A54" s="15" t="s">
        <v>275</v>
      </c>
      <c r="B54" s="51">
        <f>Supporto!E89</f>
        <v>17</v>
      </c>
    </row>
    <row r="55" spans="1:2">
      <c r="A55" s="15" t="s">
        <v>276</v>
      </c>
      <c r="B55" s="49">
        <f>Supporto!E99</f>
        <v>0.12886597938144331</v>
      </c>
    </row>
    <row r="56" spans="1:2">
      <c r="A56" s="15" t="s">
        <v>346</v>
      </c>
      <c r="B56" s="49">
        <f>Supporto!E109</f>
        <v>1.4333333333333333</v>
      </c>
    </row>
    <row r="57" spans="1:2">
      <c r="A57" s="15" t="s">
        <v>347</v>
      </c>
      <c r="B57" s="49">
        <f>Supporto!E111</f>
        <v>0.90243902439024393</v>
      </c>
    </row>
    <row r="58" spans="1:2">
      <c r="A58" s="15" t="s">
        <v>277</v>
      </c>
      <c r="B58" s="15" t="str">
        <f>Supporto!C121</f>
        <v>NO</v>
      </c>
    </row>
    <row r="59" spans="1:2">
      <c r="A59" s="15" t="s">
        <v>278</v>
      </c>
      <c r="B59" s="15" t="str">
        <f>Supporto!C131</f>
        <v>SI</v>
      </c>
    </row>
    <row r="60" spans="1:2">
      <c r="A60" s="15" t="s">
        <v>279</v>
      </c>
      <c r="B60" s="15">
        <f>Supporto!E141</f>
        <v>1.5</v>
      </c>
    </row>
    <row r="61" spans="1:2">
      <c r="A61" s="15" t="s">
        <v>280</v>
      </c>
      <c r="B61" s="27">
        <f>Supporto!D151</f>
        <v>0.125</v>
      </c>
    </row>
    <row r="62" spans="1:2">
      <c r="A62" s="15" t="s">
        <v>281</v>
      </c>
      <c r="B62" s="27">
        <f>Supporto!F161</f>
        <v>3.5211267605633804E-2</v>
      </c>
    </row>
    <row r="63" spans="1:2">
      <c r="A63" s="15" t="s">
        <v>282</v>
      </c>
      <c r="B63" s="27">
        <f>Supporto!E171</f>
        <v>0.352112676056338</v>
      </c>
    </row>
    <row r="64" spans="1:2">
      <c r="A64" s="15" t="s">
        <v>283</v>
      </c>
      <c r="B64" s="54">
        <f>Supporto!F183</f>
        <v>2.1759941089837996E-2</v>
      </c>
    </row>
    <row r="65" spans="1:2">
      <c r="A65" s="15" t="s">
        <v>284</v>
      </c>
      <c r="B65" s="27">
        <f>Supporto!F193</f>
        <v>0.70105820105820105</v>
      </c>
    </row>
    <row r="66" spans="1:2">
      <c r="A66" s="15" t="s">
        <v>285</v>
      </c>
      <c r="B66" s="27">
        <f>Supporto!F203</f>
        <v>7.9365079365079361E-3</v>
      </c>
    </row>
    <row r="67" spans="1:2">
      <c r="A67" s="15" t="s">
        <v>286</v>
      </c>
      <c r="B67" s="27">
        <f>Supporto!E213</f>
        <v>0.75</v>
      </c>
    </row>
    <row r="68" spans="1:2">
      <c r="A68" s="15" t="s">
        <v>287</v>
      </c>
      <c r="B68" s="27">
        <f>Supporto!F223</f>
        <v>8.5470085470085468</v>
      </c>
    </row>
    <row r="69" spans="1:2">
      <c r="A69" s="15" t="s">
        <v>288</v>
      </c>
      <c r="B69" s="27">
        <f>Supporto!F233</f>
        <v>2.6455026455026454E-3</v>
      </c>
    </row>
  </sheetData>
  <sheetProtection password="C97A" sheet="1" objects="1" scenarios="1"/>
  <mergeCells count="2">
    <mergeCell ref="D5:D9"/>
    <mergeCell ref="D10:D1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B4"/>
  <sheetViews>
    <sheetView workbookViewId="0">
      <selection activeCell="B26" sqref="B26"/>
    </sheetView>
  </sheetViews>
  <sheetFormatPr defaultRowHeight="14.5"/>
  <cols>
    <col min="2" max="2" width="18.453125" customWidth="1"/>
  </cols>
  <sheetData>
    <row r="3" spans="2:2">
      <c r="B3" t="s">
        <v>51</v>
      </c>
    </row>
    <row r="4" spans="2:2">
      <c r="B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PdR 5-2013</vt:lpstr>
      <vt:lpstr>Governo</vt:lpstr>
      <vt:lpstr>Operativi</vt:lpstr>
      <vt:lpstr>Supporto</vt:lpstr>
      <vt:lpstr>Totali</vt:lpstr>
      <vt:lpstr>  </vt:lpstr>
      <vt:lpstr>Indicatore_on_off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2006-09-25T09:17:32Z</dcterms:created>
  <dcterms:modified xsi:type="dcterms:W3CDTF">2025-11-15T14:27:07Z</dcterms:modified>
</cp:coreProperties>
</file>